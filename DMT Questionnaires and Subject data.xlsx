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naires" sheetId="1" r:id="rId3"/>
    <sheet state="visible" name="Subject data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6">
      <text>
        <t xml:space="preserve">Se puntúa de 0 a 3.
Las columnas con * son invertidas.
</t>
      </text>
    </comment>
    <comment authorId="0" ref="AR76">
      <text>
        <t xml:space="preserve">SOLO ESTADO
</t>
      </text>
    </comment>
    <comment authorId="0" ref="AN113">
      <text>
        <t xml:space="preserve">media de 15,02, con una
desviación típica de 7,17,</t>
      </text>
    </comment>
    <comment authorId="0" ref="B298">
      <text>
        <t xml:space="preserve">Se puntúa de 0 a 3.
Las columnas con * son invertidas.
</t>
      </text>
    </comment>
    <comment authorId="0" ref="AL335">
      <text>
        <t xml:space="preserve">media de 15,02, con una
desviación típica de 7,17,</t>
      </text>
    </comment>
  </commentList>
</comments>
</file>

<file path=xl/sharedStrings.xml><?xml version="1.0" encoding="utf-8"?>
<sst xmlns="http://schemas.openxmlformats.org/spreadsheetml/2006/main" count="1222" uniqueCount="246">
  <si>
    <t>PRE</t>
  </si>
  <si>
    <t>SCID</t>
  </si>
  <si>
    <t>S01</t>
  </si>
  <si>
    <t>S02</t>
  </si>
  <si>
    <t>S03</t>
  </si>
  <si>
    <t>S04f</t>
  </si>
  <si>
    <t>S05</t>
  </si>
  <si>
    <t>S06</t>
  </si>
  <si>
    <t>S07f</t>
  </si>
  <si>
    <t>S08</t>
  </si>
  <si>
    <t>S09</t>
  </si>
  <si>
    <t>S10</t>
  </si>
  <si>
    <t>S11</t>
  </si>
  <si>
    <t>S12f</t>
  </si>
  <si>
    <t>S13</t>
  </si>
  <si>
    <t>S14f</t>
  </si>
  <si>
    <t>S15</t>
  </si>
  <si>
    <t>S16</t>
  </si>
  <si>
    <t>S17</t>
  </si>
  <si>
    <t>S18f</t>
  </si>
  <si>
    <t>S19</t>
  </si>
  <si>
    <t>S20</t>
  </si>
  <si>
    <t>S21</t>
  </si>
  <si>
    <t>S22</t>
  </si>
  <si>
    <t>S23</t>
  </si>
  <si>
    <t>S24</t>
  </si>
  <si>
    <t>S25</t>
  </si>
  <si>
    <t>S26f</t>
  </si>
  <si>
    <t>S27f</t>
  </si>
  <si>
    <t>S28</t>
  </si>
  <si>
    <t>S29</t>
  </si>
  <si>
    <t>S30</t>
  </si>
  <si>
    <t>S31</t>
  </si>
  <si>
    <t>S32</t>
  </si>
  <si>
    <t>S33</t>
  </si>
  <si>
    <t>S34</t>
  </si>
  <si>
    <t>S35</t>
  </si>
  <si>
    <t>BFI</t>
  </si>
  <si>
    <t>2*</t>
  </si>
  <si>
    <t>6*</t>
  </si>
  <si>
    <t>8*</t>
  </si>
  <si>
    <t>9*</t>
  </si>
  <si>
    <t>12*</t>
  </si>
  <si>
    <t>18*</t>
  </si>
  <si>
    <t>21*</t>
  </si>
  <si>
    <t>23*</t>
  </si>
  <si>
    <t>24*</t>
  </si>
  <si>
    <t>27*</t>
  </si>
  <si>
    <t>31*</t>
  </si>
  <si>
    <t>34*</t>
  </si>
  <si>
    <t>35*</t>
  </si>
  <si>
    <t>37*</t>
  </si>
  <si>
    <t>41*</t>
  </si>
  <si>
    <t>43*</t>
  </si>
  <si>
    <t>DE</t>
  </si>
  <si>
    <t>E</t>
  </si>
  <si>
    <t>%</t>
  </si>
  <si>
    <t>A</t>
  </si>
  <si>
    <t>C</t>
  </si>
  <si>
    <t>N</t>
  </si>
  <si>
    <t>O</t>
  </si>
  <si>
    <t>5-25: Bajo; Medio:25-75; Alto: 75-99</t>
  </si>
  <si>
    <t>Ev(4)</t>
  </si>
  <si>
    <t>Depe(5)</t>
  </si>
  <si>
    <t>OC(4)</t>
  </si>
  <si>
    <t>PA(4)</t>
  </si>
  <si>
    <t>Dpr(5)</t>
  </si>
  <si>
    <t>Par(4)</t>
  </si>
  <si>
    <t>Scht(5)</t>
  </si>
  <si>
    <t>Sch(4)</t>
  </si>
  <si>
    <t>Hist(5)</t>
  </si>
  <si>
    <t>Nar(5)</t>
  </si>
  <si>
    <t>BDL(5)</t>
  </si>
  <si>
    <t>AS(3)</t>
  </si>
  <si>
    <t>5: Muy bajo; 25: Bajo; 75: Alto; 95: Muy alto</t>
  </si>
  <si>
    <t>saw</t>
  </si>
  <si>
    <t>enzo</t>
  </si>
  <si>
    <t>fede</t>
  </si>
  <si>
    <t>amiga castelar</t>
  </si>
  <si>
    <t>amigo castelar</t>
  </si>
  <si>
    <t>amigo moron</t>
  </si>
  <si>
    <t>amiga moron</t>
  </si>
  <si>
    <t>bambino</t>
  </si>
  <si>
    <t>amigo abuelas</t>
  </si>
  <si>
    <t>gervasio</t>
  </si>
  <si>
    <t>sala ensayo</t>
  </si>
  <si>
    <t>95+</t>
  </si>
  <si>
    <t>carla</t>
  </si>
  <si>
    <t>mauricio</t>
  </si>
  <si>
    <t>trab social</t>
  </si>
  <si>
    <t>ceramista</t>
  </si>
  <si>
    <t>pablo</t>
  </si>
  <si>
    <t>novio</t>
  </si>
  <si>
    <t>rubia</t>
  </si>
  <si>
    <t>bolitas</t>
  </si>
  <si>
    <t>kevin electrónica</t>
  </si>
  <si>
    <t>martín</t>
  </si>
  <si>
    <t>lanza</t>
  </si>
  <si>
    <t>pablo gato</t>
  </si>
  <si>
    <t>juanma gato</t>
  </si>
  <si>
    <t>novio cay</t>
  </si>
  <si>
    <t>cayetana</t>
  </si>
  <si>
    <t>mari</t>
  </si>
  <si>
    <t>justo</t>
  </si>
  <si>
    <t>pablo rra</t>
  </si>
  <si>
    <t>nico</t>
  </si>
  <si>
    <t>martin</t>
  </si>
  <si>
    <t>andres</t>
  </si>
  <si>
    <t>edu</t>
  </si>
  <si>
    <t>lean</t>
  </si>
  <si>
    <t>0 a 3</t>
  </si>
  <si>
    <t>STAI-ER</t>
  </si>
  <si>
    <t>1*</t>
  </si>
  <si>
    <t>5*</t>
  </si>
  <si>
    <t>10*</t>
  </si>
  <si>
    <t>11*</t>
  </si>
  <si>
    <t>15*</t>
  </si>
  <si>
    <t>16*</t>
  </si>
  <si>
    <t>19*</t>
  </si>
  <si>
    <t>20*</t>
  </si>
  <si>
    <t>26*</t>
  </si>
  <si>
    <t>30*</t>
  </si>
  <si>
    <t>33*</t>
  </si>
  <si>
    <t>36*</t>
  </si>
  <si>
    <t>39*</t>
  </si>
  <si>
    <t>PB.E</t>
  </si>
  <si>
    <t>PB.R</t>
  </si>
  <si>
    <t>TAS</t>
  </si>
  <si>
    <t>PB</t>
  </si>
  <si>
    <t>MBS-x</t>
  </si>
  <si>
    <t>SBS</t>
  </si>
  <si>
    <t>5i</t>
  </si>
  <si>
    <t>8i</t>
  </si>
  <si>
    <t>Dualismo</t>
  </si>
  <si>
    <t>Idealismo</t>
  </si>
  <si>
    <t>Materialismo</t>
  </si>
  <si>
    <t>Creencia en "otros reinos de existencia"</t>
  </si>
  <si>
    <t>Determinismo fatalista</t>
  </si>
  <si>
    <t>Libre albedrío</t>
  </si>
  <si>
    <t>nan</t>
  </si>
  <si>
    <t>Pre-CER</t>
  </si>
  <si>
    <t>x</t>
  </si>
  <si>
    <t>2i</t>
  </si>
  <si>
    <t>9i</t>
  </si>
  <si>
    <t>SD</t>
  </si>
  <si>
    <t>Factor1</t>
  </si>
  <si>
    <t>Factor2</t>
  </si>
  <si>
    <t>Factor3</t>
  </si>
  <si>
    <t>POST</t>
  </si>
  <si>
    <t>PB POST-PRE</t>
  </si>
  <si>
    <t>Totales</t>
  </si>
  <si>
    <t>-</t>
  </si>
  <si>
    <t>STAI-E</t>
  </si>
  <si>
    <t>Total</t>
  </si>
  <si>
    <t>5D-ASC</t>
  </si>
  <si>
    <t>5DASC2-Unity</t>
  </si>
  <si>
    <t>5DASC2-Spiritual</t>
  </si>
  <si>
    <t>5DASC2-Blissful</t>
  </si>
  <si>
    <t>5DASC2-Insightfulness</t>
  </si>
  <si>
    <t>5DASC2-Disembodiment</t>
  </si>
  <si>
    <t>5DASC2-ImpairedC&amp;C</t>
  </si>
  <si>
    <t>5DASC2-Anxiety</t>
  </si>
  <si>
    <t>5DASC2-ComplexImagery</t>
  </si>
  <si>
    <t>5DASC2-ElementaryImagery</t>
  </si>
  <si>
    <t>5DASC2-AudioVisualSyn</t>
  </si>
  <si>
    <t>5DASC2-ChangedMeaning</t>
  </si>
  <si>
    <t>5DASC2-OB1</t>
  </si>
  <si>
    <t>5DASC2-OB2</t>
  </si>
  <si>
    <t>5DASC2-OB3</t>
  </si>
  <si>
    <t>5DASC2-AED1</t>
  </si>
  <si>
    <t>AED2</t>
  </si>
  <si>
    <t>AED3</t>
  </si>
  <si>
    <t>5DASC2-VR1</t>
  </si>
  <si>
    <t>5DASC2-VR2</t>
  </si>
  <si>
    <t>5DASC2-VR3</t>
  </si>
  <si>
    <t>5DASC2-AA</t>
  </si>
  <si>
    <t>5DASC2-RV</t>
  </si>
  <si>
    <t>Top 10 AVG</t>
  </si>
  <si>
    <t>n=15</t>
  </si>
  <si>
    <t>rta</t>
  </si>
  <si>
    <t>high</t>
  </si>
  <si>
    <t>low</t>
  </si>
  <si>
    <t>NDE</t>
  </si>
  <si>
    <t>Cognitivo</t>
  </si>
  <si>
    <t>Afectivo</t>
  </si>
  <si>
    <t>Paranormal</t>
  </si>
  <si>
    <t>Trascendental</t>
  </si>
  <si>
    <t>puntajes como media y además:</t>
  </si>
  <si>
    <t>puntajes como media</t>
  </si>
  <si>
    <t>social factors y fusion tienen también la media normalizada (0 a 5) porque la likert es de 1 a 7</t>
  </si>
  <si>
    <t>setting se calcula sobre un maximo de 5 pq esta en mm</t>
  </si>
  <si>
    <t>setting tiene la media normalizada (0 a 5) a partir del continuo de 120 mm de setting</t>
  </si>
  <si>
    <t>(setting = mm)</t>
  </si>
  <si>
    <t>Post-CER</t>
  </si>
  <si>
    <t>S</t>
  </si>
  <si>
    <t>SF</t>
  </si>
  <si>
    <t>F</t>
  </si>
  <si>
    <t>Mystical</t>
  </si>
  <si>
    <t>Positive Mood</t>
  </si>
  <si>
    <t>Trandesendence of Time and Space</t>
  </si>
  <si>
    <t>Innefability</t>
  </si>
  <si>
    <t>Post-Mystical_InternalUnity</t>
  </si>
  <si>
    <t>Post-Mystical_ExternalUnity</t>
  </si>
  <si>
    <t>Post-Mystical_NoeticQuality</t>
  </si>
  <si>
    <t>Post-Mystical_Sacredness</t>
  </si>
  <si>
    <t>Post-Setting</t>
  </si>
  <si>
    <t>Post-SocialFactors</t>
  </si>
  <si>
    <t>Post-Fusion</t>
  </si>
  <si>
    <t>Post-Awe</t>
  </si>
  <si>
    <t>2/3</t>
  </si>
  <si>
    <t>1/2/3</t>
  </si>
  <si>
    <t>1/2</t>
  </si>
  <si>
    <t>1/3/4</t>
  </si>
  <si>
    <t>6/7</t>
  </si>
  <si>
    <t>1/3</t>
  </si>
  <si>
    <t>5</t>
  </si>
  <si>
    <t>6</t>
  </si>
  <si>
    <t>1</t>
  </si>
  <si>
    <t>4</t>
  </si>
  <si>
    <t>0</t>
  </si>
  <si>
    <t>2/3/4</t>
  </si>
  <si>
    <t>1/7</t>
  </si>
  <si>
    <t>1/4</t>
  </si>
  <si>
    <t>3</t>
  </si>
  <si>
    <t>3/4</t>
  </si>
  <si>
    <t>2</t>
  </si>
  <si>
    <t>Subject</t>
  </si>
  <si>
    <t>Age</t>
  </si>
  <si>
    <t>Weight (kg)</t>
  </si>
  <si>
    <t>Male(0) / Female(1)</t>
  </si>
  <si>
    <t>Ayahuasca - Previous Experiences</t>
  </si>
  <si>
    <t>DMT - Previous Experiences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</si>
  <si>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</si>
  <si>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</si>
  <si>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</si>
  <si>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</si>
  <si>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</si>
  <si>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</si>
  <si>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</si>
  <si>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</si>
  <si>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</si>
  <si>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S12</t>
  </si>
  <si>
    <t>S14</t>
  </si>
  <si>
    <t>S18</t>
  </si>
  <si>
    <t>S26</t>
  </si>
  <si>
    <t>S27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</si>
</sst>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"/>
    <numFmt numFmtId="165" formatCode="0.0000000000"/>
  </numFmts>
  <fonts count="14">
    <font>
      <sz val="10.0"/>
      <color rgb="FF000000"/>
      <name val="Arial"/>
    </font>
    <font>
      <b/>
    </font>
    <font/>
    <font>
      <i/>
    </font>
    <font>
      <i/>
      <name val="Arial"/>
    </font>
    <font>
      <b/>
      <i/>
    </font>
    <font>
      <b/>
      <i/>
      <name val="Arial"/>
    </font>
    <font>
      <b/>
      <color rgb="FFFF0000"/>
    </font>
    <font>
      <sz val="11.0"/>
      <color rgb="FF11A9CC"/>
      <name val="Inconsolata"/>
    </font>
    <font>
      <b/>
      <name val="Arial"/>
    </font>
    <font>
      <name val="Arial"/>
    </font>
    <font>
      <sz val="11.0"/>
      <color rgb="FF000000"/>
      <name val="Inconsolata"/>
    </font>
    <font>
      <sz val="11.0"/>
      <color rgb="FF000000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/>
    </border>
    <border>
      <top style="thin">
        <color rgb="FF000000"/>
      </top>
      <bottom style="thin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left style="thin">
        <color rgb="FF000000"/>
      </left>
      <right style="thin">
        <color rgb="FF000000"/>
      </right>
    </border>
    <border>
      <right style="dotted">
        <color rgb="FF000000"/>
      </right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0" fontId="6" numFmtId="0" xfId="0" applyAlignment="1" applyBorder="1" applyFont="1">
      <alignment shrinkToFit="0" vertical="bottom" wrapText="0"/>
    </xf>
    <xf borderId="0" fillId="0" fontId="1" numFmtId="0" xfId="0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2" fillId="0" fontId="1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0" fillId="0" fontId="2" numFmtId="1" xfId="0" applyFont="1" applyNumberFormat="1"/>
    <xf borderId="1" fillId="0" fontId="1" numFmtId="1" xfId="0" applyAlignment="1" applyBorder="1" applyFont="1" applyNumberFormat="1">
      <alignment readingOrder="0"/>
    </xf>
    <xf borderId="2" fillId="0" fontId="2" numFmtId="1" xfId="0" applyAlignment="1" applyBorder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3" fillId="0" fontId="2" numFmtId="1" xfId="0" applyAlignment="1" applyBorder="1" applyFont="1" applyNumberFormat="1">
      <alignment readingOrder="0"/>
    </xf>
    <xf borderId="3" fillId="0" fontId="2" numFmtId="1" xfId="0" applyBorder="1" applyFont="1" applyNumberFormat="1"/>
    <xf borderId="3" fillId="0" fontId="2" numFmtId="0" xfId="0" applyBorder="1" applyFont="1"/>
    <xf borderId="0" fillId="2" fontId="8" numFmtId="0" xfId="0" applyFill="1" applyFont="1"/>
    <xf borderId="0" fillId="2" fontId="8" numFmtId="1" xfId="0" applyFont="1" applyNumberFormat="1"/>
    <xf borderId="5" fillId="0" fontId="4" numFmtId="1" xfId="0" applyAlignment="1" applyBorder="1" applyFont="1" applyNumberFormat="1">
      <alignment shrinkToFit="0" vertical="bottom" wrapText="0"/>
    </xf>
    <xf borderId="2" fillId="0" fontId="2" numFmtId="0" xfId="0" applyBorder="1" applyFont="1"/>
    <xf borderId="2" fillId="0" fontId="9" numFmtId="0" xfId="0" applyAlignment="1" applyBorder="1" applyFont="1">
      <alignment readingOrder="0" vertical="bottom"/>
    </xf>
    <xf borderId="3" fillId="0" fontId="10" numFmtId="0" xfId="0" applyAlignment="1" applyBorder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7" fillId="0" fontId="10" numFmtId="1" xfId="0" applyAlignment="1" applyBorder="1" applyFont="1" applyNumberFormat="1">
      <alignment horizontal="right" vertical="bottom"/>
    </xf>
    <xf borderId="3" fillId="0" fontId="2" numFmtId="0" xfId="0" applyBorder="1" applyFont="1"/>
    <xf borderId="0" fillId="2" fontId="11" numFmtId="1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/>
    </xf>
    <xf borderId="6" fillId="0" fontId="10" numFmtId="49" xfId="0" applyAlignment="1" applyBorder="1" applyFont="1" applyNumberFormat="1">
      <alignment horizontal="right" vertical="bottom"/>
    </xf>
    <xf borderId="3" fillId="0" fontId="2" numFmtId="2" xfId="0" applyAlignment="1" applyBorder="1" applyFont="1" applyNumberFormat="1">
      <alignment readingOrder="0"/>
    </xf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1" numFmtId="1" xfId="0" applyFont="1" applyNumberFormat="1"/>
    <xf borderId="0" fillId="2" fontId="11" numFmtId="0" xfId="0" applyFont="1"/>
    <xf borderId="2" fillId="0" fontId="10" numFmtId="49" xfId="0" applyAlignment="1" applyBorder="1" applyFont="1" applyNumberFormat="1">
      <alignment horizontal="right" vertical="bottom"/>
    </xf>
    <xf borderId="3" fillId="0" fontId="2" numFmtId="49" xfId="0" applyAlignment="1" applyBorder="1" applyFont="1" applyNumberFormat="1">
      <alignment horizontal="right" readingOrder="0"/>
    </xf>
    <xf borderId="3" fillId="0" fontId="2" numFmtId="0" xfId="0" applyAlignment="1" applyBorder="1" applyFont="1">
      <alignment horizontal="right"/>
    </xf>
    <xf borderId="7" fillId="0" fontId="10" numFmtId="49" xfId="0" applyAlignment="1" applyBorder="1" applyFont="1" applyNumberFormat="1">
      <alignment horizontal="right" vertical="bottom"/>
    </xf>
    <xf borderId="7" fillId="0" fontId="10" numFmtId="0" xfId="0" applyAlignment="1" applyBorder="1" applyFont="1">
      <alignment horizontal="right" vertical="bottom"/>
    </xf>
    <xf borderId="2" fillId="0" fontId="10" numFmtId="49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10" numFmtId="49" xfId="0" applyAlignment="1" applyFont="1" applyNumberFormat="1">
      <alignment horizontal="right" readingOrder="0" vertical="bottom"/>
    </xf>
    <xf borderId="0" fillId="3" fontId="12" numFmtId="0" xfId="0" applyAlignment="1" applyFill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8.5"/>
    <col customWidth="1" min="3" max="4" width="2.5"/>
    <col customWidth="1" min="5" max="6" width="2.38"/>
    <col customWidth="1" min="7" max="7" width="2.5"/>
    <col customWidth="1" min="8" max="9" width="2.38"/>
    <col customWidth="1" min="10" max="10" width="2.5"/>
    <col customWidth="1" min="11" max="11" width="2.38"/>
    <col customWidth="1" min="12" max="12" width="3.5"/>
    <col customWidth="1" min="13" max="13" width="3.38"/>
    <col customWidth="1" min="14" max="16" width="2.75"/>
    <col customWidth="1" min="17" max="18" width="3.5"/>
    <col customWidth="1" min="19" max="20" width="2.75"/>
    <col customWidth="1" min="21" max="23" width="3.5"/>
    <col customWidth="1" min="24" max="27" width="2.75"/>
    <col customWidth="1" min="28" max="29" width="3.5"/>
    <col customWidth="1" min="30" max="31" width="2.75"/>
    <col customWidth="1" min="32" max="32" width="3.5"/>
    <col customWidth="1" min="33" max="34" width="2.75"/>
    <col customWidth="1" min="35" max="35" width="3.5"/>
    <col customWidth="1" min="36" max="37" width="2.75"/>
    <col customWidth="1" min="38" max="38" width="3.5"/>
    <col customWidth="1" min="39" max="40" width="2.75"/>
    <col customWidth="1" min="41" max="41" width="3.5"/>
    <col customWidth="1" min="42" max="49" width="2.75"/>
    <col customWidth="1" min="50" max="50" width="3.13"/>
    <col customWidth="1" min="51" max="68" width="2.75"/>
    <col customWidth="1" min="69" max="69" width="4.38"/>
    <col customWidth="1" min="70" max="73" width="2.75"/>
    <col customWidth="1" min="74" max="74" width="3.13"/>
    <col customWidth="1" min="75" max="77" width="2.75"/>
    <col customWidth="1" min="78" max="78" width="3.63"/>
    <col customWidth="1" min="79" max="90" width="2.75"/>
    <col customWidth="1" min="91" max="91" width="4.5"/>
    <col customWidth="1" min="92" max="93" width="2.75"/>
    <col customWidth="1" min="94" max="94" width="3.75"/>
    <col customWidth="1" min="95" max="95" width="4.25"/>
    <col customWidth="1" min="96" max="96" width="4.13"/>
    <col customWidth="1" min="97" max="101" width="2.75"/>
    <col customWidth="1" min="102" max="109" width="3.75"/>
    <col customWidth="1" min="110" max="110" width="4.0"/>
    <col customWidth="1" min="111" max="111" width="3.75"/>
    <col customWidth="1" min="112" max="112" width="3.63"/>
    <col customWidth="1" min="113" max="113" width="3.5"/>
    <col customWidth="1" min="114" max="143" width="3.63"/>
  </cols>
  <sheetData>
    <row r="1">
      <c r="A1" s="1" t="s">
        <v>0</v>
      </c>
    </row>
    <row r="2">
      <c r="B2" s="2" t="s">
        <v>1</v>
      </c>
      <c r="C2" s="3">
        <v>1.0</v>
      </c>
      <c r="D2" s="3">
        <v>2.0</v>
      </c>
      <c r="E2" s="3">
        <v>3.0</v>
      </c>
      <c r="F2" s="3">
        <v>4.0</v>
      </c>
      <c r="G2" s="3">
        <v>5.0</v>
      </c>
      <c r="H2" s="3">
        <v>6.0</v>
      </c>
      <c r="I2" s="3">
        <v>7.0</v>
      </c>
      <c r="J2" s="3">
        <v>8.0</v>
      </c>
      <c r="K2" s="3">
        <v>9.0</v>
      </c>
      <c r="L2" s="3">
        <v>10.0</v>
      </c>
      <c r="M2" s="3">
        <v>11.0</v>
      </c>
      <c r="N2" s="3">
        <v>12.0</v>
      </c>
      <c r="O2" s="3">
        <v>13.0</v>
      </c>
      <c r="P2" s="3">
        <v>14.0</v>
      </c>
      <c r="Q2" s="3">
        <v>15.0</v>
      </c>
      <c r="R2" s="3">
        <v>16.0</v>
      </c>
      <c r="S2" s="3">
        <v>17.0</v>
      </c>
      <c r="T2" s="3">
        <v>18.0</v>
      </c>
      <c r="U2" s="3">
        <v>19.0</v>
      </c>
      <c r="V2" s="3">
        <v>20.0</v>
      </c>
      <c r="W2" s="3">
        <v>21.0</v>
      </c>
      <c r="X2" s="3">
        <v>22.0</v>
      </c>
      <c r="Y2" s="3">
        <v>23.0</v>
      </c>
      <c r="Z2" s="3">
        <v>24.0</v>
      </c>
      <c r="AA2" s="3">
        <v>25.0</v>
      </c>
      <c r="AB2" s="3">
        <v>26.0</v>
      </c>
      <c r="AC2" s="3">
        <v>27.0</v>
      </c>
      <c r="AD2" s="3">
        <v>28.0</v>
      </c>
      <c r="AE2" s="3">
        <v>29.0</v>
      </c>
      <c r="AF2" s="3">
        <v>30.0</v>
      </c>
      <c r="AG2" s="3">
        <v>31.0</v>
      </c>
      <c r="AH2" s="3">
        <v>32.0</v>
      </c>
      <c r="AI2" s="3">
        <v>33.0</v>
      </c>
      <c r="AJ2" s="3">
        <v>34.0</v>
      </c>
      <c r="AK2" s="3">
        <v>35.0</v>
      </c>
      <c r="AL2" s="3">
        <v>36.0</v>
      </c>
      <c r="AM2" s="3">
        <v>37.0</v>
      </c>
      <c r="AN2" s="3">
        <v>38.0</v>
      </c>
      <c r="AO2" s="3">
        <v>39.0</v>
      </c>
      <c r="AP2" s="3">
        <v>40.0</v>
      </c>
      <c r="AQ2" s="3">
        <v>41.0</v>
      </c>
      <c r="AR2" s="3">
        <v>42.0</v>
      </c>
      <c r="AS2" s="3">
        <v>43.0</v>
      </c>
      <c r="AT2" s="3">
        <v>44.0</v>
      </c>
      <c r="AU2" s="3">
        <v>45.0</v>
      </c>
      <c r="AV2" s="3">
        <v>46.0</v>
      </c>
      <c r="AW2" s="3">
        <v>47.0</v>
      </c>
      <c r="AX2" s="3">
        <v>48.0</v>
      </c>
      <c r="AY2" s="3">
        <v>49.0</v>
      </c>
      <c r="AZ2" s="3">
        <v>50.0</v>
      </c>
      <c r="BA2" s="3">
        <v>51.0</v>
      </c>
      <c r="BB2" s="3">
        <v>52.0</v>
      </c>
      <c r="BC2" s="3">
        <v>53.0</v>
      </c>
      <c r="BD2" s="3">
        <v>54.0</v>
      </c>
      <c r="BE2" s="3">
        <v>55.0</v>
      </c>
      <c r="BF2" s="3">
        <v>56.0</v>
      </c>
      <c r="BG2" s="3">
        <v>57.0</v>
      </c>
      <c r="BH2" s="3">
        <v>58.0</v>
      </c>
      <c r="BI2" s="3">
        <v>59.0</v>
      </c>
      <c r="BJ2" s="3">
        <v>60.0</v>
      </c>
      <c r="BK2" s="3">
        <v>61.0</v>
      </c>
      <c r="BL2" s="3">
        <v>62.0</v>
      </c>
      <c r="BM2" s="3">
        <v>63.0</v>
      </c>
      <c r="BN2" s="3">
        <v>64.0</v>
      </c>
      <c r="BO2" s="3">
        <v>65.0</v>
      </c>
      <c r="BP2" s="3">
        <v>66.0</v>
      </c>
      <c r="BQ2" s="3">
        <v>67.0</v>
      </c>
      <c r="BR2" s="3">
        <v>68.0</v>
      </c>
      <c r="BS2" s="3">
        <v>69.0</v>
      </c>
      <c r="BT2" s="3">
        <v>70.0</v>
      </c>
      <c r="BU2" s="3">
        <v>71.0</v>
      </c>
      <c r="BV2" s="3">
        <v>72.0</v>
      </c>
      <c r="BW2" s="3">
        <v>73.0</v>
      </c>
      <c r="BX2" s="3">
        <v>74.0</v>
      </c>
      <c r="BY2" s="3">
        <v>75.0</v>
      </c>
      <c r="BZ2" s="3">
        <v>76.0</v>
      </c>
      <c r="CA2" s="3">
        <v>77.0</v>
      </c>
      <c r="CB2" s="3">
        <v>78.0</v>
      </c>
      <c r="CC2" s="3">
        <v>79.0</v>
      </c>
      <c r="CD2" s="3">
        <v>80.0</v>
      </c>
      <c r="CE2" s="3">
        <v>81.0</v>
      </c>
      <c r="CF2" s="3">
        <v>82.0</v>
      </c>
      <c r="CG2" s="3">
        <v>83.0</v>
      </c>
      <c r="CH2" s="3">
        <v>84.0</v>
      </c>
      <c r="CI2" s="3">
        <v>85.0</v>
      </c>
      <c r="CJ2" s="3">
        <v>86.0</v>
      </c>
      <c r="CK2" s="3">
        <v>87.0</v>
      </c>
      <c r="CL2" s="3">
        <v>88.0</v>
      </c>
      <c r="CM2" s="3">
        <v>89.0</v>
      </c>
      <c r="CN2" s="3">
        <v>90.0</v>
      </c>
      <c r="CO2" s="3">
        <v>91.0</v>
      </c>
      <c r="CP2" s="3">
        <v>92.0</v>
      </c>
      <c r="CQ2" s="3">
        <v>93.0</v>
      </c>
      <c r="CR2" s="3">
        <v>94.0</v>
      </c>
      <c r="CS2" s="3">
        <v>95.0</v>
      </c>
      <c r="CT2" s="3">
        <v>96.0</v>
      </c>
      <c r="CU2" s="3">
        <v>97.0</v>
      </c>
      <c r="CV2" s="3">
        <v>98.0</v>
      </c>
      <c r="CW2" s="3">
        <v>99.0</v>
      </c>
      <c r="CX2" s="3">
        <v>100.0</v>
      </c>
      <c r="CY2" s="3">
        <v>101.0</v>
      </c>
      <c r="CZ2" s="3">
        <v>102.0</v>
      </c>
      <c r="DA2" s="3">
        <v>103.0</v>
      </c>
      <c r="DB2" s="3">
        <v>104.0</v>
      </c>
      <c r="DC2" s="3">
        <v>105.0</v>
      </c>
      <c r="DD2" s="3">
        <v>106.0</v>
      </c>
      <c r="DE2" s="3">
        <v>107.0</v>
      </c>
      <c r="DF2" s="3">
        <v>108.0</v>
      </c>
      <c r="DG2" s="3">
        <v>109.0</v>
      </c>
      <c r="DH2" s="3">
        <v>110.0</v>
      </c>
      <c r="DI2" s="3">
        <v>111.0</v>
      </c>
      <c r="DJ2" s="3">
        <v>112.0</v>
      </c>
      <c r="DK2" s="3">
        <v>113.0</v>
      </c>
      <c r="DL2" s="3">
        <v>114.0</v>
      </c>
      <c r="DM2" s="3">
        <v>115.0</v>
      </c>
      <c r="DN2" s="3">
        <v>116.0</v>
      </c>
      <c r="DO2" s="3">
        <v>117.0</v>
      </c>
      <c r="DP2" s="3">
        <v>118.0</v>
      </c>
      <c r="DQ2" s="3">
        <v>119.0</v>
      </c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</row>
    <row r="3">
      <c r="B3" s="5" t="s">
        <v>2</v>
      </c>
      <c r="C3" s="6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6">
        <v>0.0</v>
      </c>
      <c r="K3" s="6">
        <v>0.0</v>
      </c>
      <c r="L3" s="6">
        <v>0.0</v>
      </c>
      <c r="M3" s="6">
        <v>0.0</v>
      </c>
      <c r="N3" s="6">
        <v>1.0</v>
      </c>
      <c r="O3" s="6">
        <v>0.0</v>
      </c>
      <c r="P3" s="6">
        <v>0.0</v>
      </c>
      <c r="Q3" s="7">
        <v>0.0</v>
      </c>
      <c r="R3" s="6">
        <v>0.0</v>
      </c>
      <c r="S3" s="6">
        <v>0.0</v>
      </c>
      <c r="T3" s="6">
        <v>0.0</v>
      </c>
      <c r="U3" s="6">
        <v>0.0</v>
      </c>
      <c r="V3" s="6">
        <v>0.0</v>
      </c>
      <c r="W3" s="6">
        <v>0.0</v>
      </c>
      <c r="X3" s="6">
        <v>0.0</v>
      </c>
      <c r="Y3" s="6">
        <v>0.0</v>
      </c>
      <c r="Z3" s="7">
        <v>0.0</v>
      </c>
      <c r="AA3" s="6">
        <v>0.0</v>
      </c>
      <c r="AB3" s="6">
        <v>1.0</v>
      </c>
      <c r="AC3" s="6">
        <v>0.0</v>
      </c>
      <c r="AD3" s="6">
        <v>0.0</v>
      </c>
      <c r="AE3" s="6">
        <v>1.0</v>
      </c>
      <c r="AF3" s="6">
        <v>0.0</v>
      </c>
      <c r="AG3" s="6">
        <v>0.0</v>
      </c>
      <c r="AH3" s="7">
        <v>0.0</v>
      </c>
      <c r="AI3" s="6">
        <v>0.0</v>
      </c>
      <c r="AJ3" s="6">
        <v>0.0</v>
      </c>
      <c r="AK3" s="6">
        <v>0.0</v>
      </c>
      <c r="AL3" s="6">
        <v>0.0</v>
      </c>
      <c r="AM3" s="6">
        <v>0.0</v>
      </c>
      <c r="AN3" s="6">
        <v>0.0</v>
      </c>
      <c r="AO3" s="6">
        <v>0.0</v>
      </c>
      <c r="AP3" s="7">
        <v>0.0</v>
      </c>
      <c r="AQ3" s="6">
        <v>1.0</v>
      </c>
      <c r="AR3" s="6">
        <v>0.0</v>
      </c>
      <c r="AS3" s="6">
        <v>0.0</v>
      </c>
      <c r="AT3" s="6">
        <v>0.0</v>
      </c>
      <c r="AU3" s="6">
        <v>0.0</v>
      </c>
      <c r="AV3" s="6">
        <v>0.0</v>
      </c>
      <c r="AW3" s="6">
        <v>0.0</v>
      </c>
      <c r="AX3" s="7">
        <v>0.0</v>
      </c>
      <c r="AY3" s="6">
        <v>0.0</v>
      </c>
      <c r="AZ3" s="6">
        <v>0.0</v>
      </c>
      <c r="BA3" s="6">
        <v>0.0</v>
      </c>
      <c r="BB3" s="6">
        <v>0.0</v>
      </c>
      <c r="BC3" s="6">
        <v>0.0</v>
      </c>
      <c r="BD3" s="6">
        <v>0.0</v>
      </c>
      <c r="BE3" s="6">
        <v>0.0</v>
      </c>
      <c r="BF3" s="6">
        <v>1.0</v>
      </c>
      <c r="BG3" s="6">
        <v>0.0</v>
      </c>
      <c r="BH3" s="6">
        <v>0.0</v>
      </c>
      <c r="BI3" s="7">
        <v>0.0</v>
      </c>
      <c r="BJ3" s="6">
        <v>0.0</v>
      </c>
      <c r="BK3" s="6">
        <v>0.0</v>
      </c>
      <c r="BL3" s="6">
        <v>0.0</v>
      </c>
      <c r="BM3" s="6">
        <v>0.0</v>
      </c>
      <c r="BN3" s="6">
        <v>0.0</v>
      </c>
      <c r="BO3" s="7">
        <v>0.0</v>
      </c>
      <c r="BP3" s="6">
        <v>0.0</v>
      </c>
      <c r="BQ3" s="6">
        <v>0.0</v>
      </c>
      <c r="BR3" s="6">
        <v>0.0</v>
      </c>
      <c r="BS3" s="6">
        <v>0.0</v>
      </c>
      <c r="BT3" s="6">
        <v>0.0</v>
      </c>
      <c r="BU3" s="6">
        <v>0.0</v>
      </c>
      <c r="BV3" s="7">
        <v>1.0</v>
      </c>
      <c r="BW3" s="6">
        <v>0.0</v>
      </c>
      <c r="BX3" s="6">
        <v>0.0</v>
      </c>
      <c r="BY3" s="6">
        <v>0.0</v>
      </c>
      <c r="BZ3" s="6">
        <v>0.0</v>
      </c>
      <c r="CA3" s="6">
        <v>0.0</v>
      </c>
      <c r="CB3" s="6">
        <v>0.0</v>
      </c>
      <c r="CC3" s="6">
        <v>0.0</v>
      </c>
      <c r="CD3" s="6">
        <v>1.0</v>
      </c>
      <c r="CE3" s="6">
        <v>0.0</v>
      </c>
      <c r="CF3" s="6">
        <v>0.0</v>
      </c>
      <c r="CG3" s="6">
        <v>0.0</v>
      </c>
      <c r="CH3" s="6">
        <v>0.0</v>
      </c>
      <c r="CI3" s="6">
        <v>0.0</v>
      </c>
      <c r="CJ3" s="6">
        <v>0.0</v>
      </c>
      <c r="CK3" s="6">
        <v>0.0</v>
      </c>
      <c r="CL3" s="6">
        <v>0.0</v>
      </c>
      <c r="CM3" s="7">
        <v>0.0</v>
      </c>
      <c r="CN3" s="6">
        <v>0.0</v>
      </c>
      <c r="CO3" s="6">
        <v>0.0</v>
      </c>
      <c r="CP3" s="6">
        <v>0.0</v>
      </c>
      <c r="CQ3" s="6">
        <v>0.0</v>
      </c>
      <c r="CR3" s="6">
        <v>0.0</v>
      </c>
      <c r="CS3" s="6">
        <v>0.0</v>
      </c>
      <c r="CT3" s="6">
        <v>0.0</v>
      </c>
      <c r="CU3" s="6">
        <v>0.0</v>
      </c>
      <c r="CV3" s="6">
        <v>0.0</v>
      </c>
      <c r="CW3" s="6">
        <v>0.0</v>
      </c>
      <c r="CX3" s="6">
        <v>0.0</v>
      </c>
      <c r="CY3" s="6">
        <v>0.0</v>
      </c>
      <c r="CZ3" s="6">
        <v>0.0</v>
      </c>
      <c r="DA3" s="6">
        <v>0.0</v>
      </c>
      <c r="DB3" s="7">
        <v>0.0</v>
      </c>
      <c r="DC3" s="6">
        <v>0.0</v>
      </c>
      <c r="DD3" s="6">
        <v>0.0</v>
      </c>
      <c r="DE3" s="6">
        <v>0.0</v>
      </c>
      <c r="DF3" s="6">
        <v>0.0</v>
      </c>
      <c r="DG3" s="6">
        <v>0.0</v>
      </c>
      <c r="DH3" s="6">
        <v>0.0</v>
      </c>
      <c r="DI3" s="6">
        <v>0.0</v>
      </c>
      <c r="DJ3" s="6">
        <v>0.0</v>
      </c>
      <c r="DK3" s="6">
        <v>0.0</v>
      </c>
      <c r="DL3" s="6">
        <v>0.0</v>
      </c>
      <c r="DM3" s="6">
        <v>0.0</v>
      </c>
      <c r="DN3" s="6">
        <v>0.0</v>
      </c>
      <c r="DO3" s="6">
        <v>0.0</v>
      </c>
      <c r="DP3" s="6">
        <v>0.0</v>
      </c>
      <c r="DQ3" s="7">
        <v>0.0</v>
      </c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</row>
    <row r="4">
      <c r="B4" s="5" t="s">
        <v>3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6">
        <v>0.0</v>
      </c>
      <c r="K4" s="6">
        <v>1.0</v>
      </c>
      <c r="L4" s="6">
        <v>1.0</v>
      </c>
      <c r="M4" s="6">
        <v>0.0</v>
      </c>
      <c r="N4" s="6">
        <v>0.0</v>
      </c>
      <c r="O4" s="6">
        <v>0.0</v>
      </c>
      <c r="P4" s="6">
        <v>0.0</v>
      </c>
      <c r="Q4" s="7">
        <v>0.0</v>
      </c>
      <c r="R4" s="6">
        <v>0.0</v>
      </c>
      <c r="S4" s="6">
        <v>0.0</v>
      </c>
      <c r="T4" s="6">
        <v>1.0</v>
      </c>
      <c r="U4" s="6">
        <v>0.0</v>
      </c>
      <c r="V4" s="6">
        <v>0.0</v>
      </c>
      <c r="W4" s="6">
        <v>0.0</v>
      </c>
      <c r="X4" s="6">
        <v>0.0</v>
      </c>
      <c r="Y4" s="6">
        <v>1.0</v>
      </c>
      <c r="Z4" s="7">
        <v>1.0</v>
      </c>
      <c r="AA4" s="6">
        <v>0.0</v>
      </c>
      <c r="AB4" s="6">
        <v>1.0</v>
      </c>
      <c r="AC4" s="6">
        <v>1.0</v>
      </c>
      <c r="AD4" s="6">
        <v>1.0</v>
      </c>
      <c r="AE4" s="6">
        <v>1.0</v>
      </c>
      <c r="AF4" s="6">
        <v>0.0</v>
      </c>
      <c r="AG4" s="6">
        <v>0.0</v>
      </c>
      <c r="AH4" s="7">
        <v>0.0</v>
      </c>
      <c r="AI4" s="6">
        <v>0.0</v>
      </c>
      <c r="AJ4" s="6">
        <v>0.0</v>
      </c>
      <c r="AK4" s="6">
        <v>0.0</v>
      </c>
      <c r="AL4" s="6">
        <v>0.0</v>
      </c>
      <c r="AM4" s="6">
        <v>1.0</v>
      </c>
      <c r="AN4" s="6">
        <v>0.0</v>
      </c>
      <c r="AO4" s="6">
        <v>1.0</v>
      </c>
      <c r="AP4" s="7">
        <v>0.0</v>
      </c>
      <c r="AQ4" s="6">
        <v>0.0</v>
      </c>
      <c r="AR4" s="6">
        <v>0.0</v>
      </c>
      <c r="AS4" s="6">
        <v>0.0</v>
      </c>
      <c r="AT4" s="6">
        <v>0.0</v>
      </c>
      <c r="AU4" s="6">
        <v>1.0</v>
      </c>
      <c r="AV4" s="6">
        <v>1.0</v>
      </c>
      <c r="AW4" s="6">
        <v>0.0</v>
      </c>
      <c r="AX4" s="7">
        <v>0.0</v>
      </c>
      <c r="AY4" s="6">
        <v>0.0</v>
      </c>
      <c r="AZ4" s="6">
        <v>0.0</v>
      </c>
      <c r="BA4" s="6">
        <v>0.0</v>
      </c>
      <c r="BB4" s="6">
        <v>0.0</v>
      </c>
      <c r="BC4" s="6">
        <v>0.0</v>
      </c>
      <c r="BD4" s="6">
        <v>0.0</v>
      </c>
      <c r="BE4" s="6">
        <v>0.0</v>
      </c>
      <c r="BF4" s="6">
        <v>0.0</v>
      </c>
      <c r="BG4" s="6">
        <v>0.0</v>
      </c>
      <c r="BH4" s="6">
        <v>1.0</v>
      </c>
      <c r="BI4" s="7">
        <v>0.0</v>
      </c>
      <c r="BJ4" s="6">
        <v>0.0</v>
      </c>
      <c r="BK4" s="6">
        <v>0.0</v>
      </c>
      <c r="BL4" s="6">
        <v>0.0</v>
      </c>
      <c r="BM4" s="6">
        <v>0.0</v>
      </c>
      <c r="BN4" s="6">
        <v>0.0</v>
      </c>
      <c r="BO4" s="7">
        <v>0.0</v>
      </c>
      <c r="BP4" s="6">
        <v>1.0</v>
      </c>
      <c r="BQ4" s="6">
        <v>0.0</v>
      </c>
      <c r="BR4" s="6">
        <v>0.0</v>
      </c>
      <c r="BS4" s="6">
        <v>0.0</v>
      </c>
      <c r="BT4" s="6">
        <v>1.0</v>
      </c>
      <c r="BU4" s="6">
        <v>0.0</v>
      </c>
      <c r="BV4" s="7">
        <v>0.0</v>
      </c>
      <c r="BW4" s="6">
        <v>0.0</v>
      </c>
      <c r="BX4" s="6">
        <v>0.0</v>
      </c>
      <c r="BY4" s="6">
        <v>0.0</v>
      </c>
      <c r="BZ4" s="6">
        <v>0.0</v>
      </c>
      <c r="CA4" s="6">
        <v>1.0</v>
      </c>
      <c r="CB4" s="6">
        <v>0.0</v>
      </c>
      <c r="CC4" s="6">
        <v>0.0</v>
      </c>
      <c r="CD4" s="6">
        <v>1.0</v>
      </c>
      <c r="CE4" s="6">
        <v>0.0</v>
      </c>
      <c r="CF4" s="6">
        <v>0.0</v>
      </c>
      <c r="CG4" s="6">
        <v>0.0</v>
      </c>
      <c r="CH4" s="6">
        <v>0.0</v>
      </c>
      <c r="CI4" s="6">
        <v>0.0</v>
      </c>
      <c r="CJ4" s="6">
        <v>1.0</v>
      </c>
      <c r="CK4" s="6">
        <v>0.0</v>
      </c>
      <c r="CL4" s="6">
        <v>0.0</v>
      </c>
      <c r="CM4" s="7">
        <v>0.0</v>
      </c>
      <c r="CN4" s="6">
        <v>0.0</v>
      </c>
      <c r="CO4" s="6">
        <v>0.0</v>
      </c>
      <c r="CP4" s="6">
        <v>0.0</v>
      </c>
      <c r="CQ4" s="6">
        <v>0.0</v>
      </c>
      <c r="CR4" s="6">
        <v>0.0</v>
      </c>
      <c r="CS4" s="6">
        <v>0.0</v>
      </c>
      <c r="CT4" s="6">
        <v>1.0</v>
      </c>
      <c r="CU4" s="6">
        <v>0.0</v>
      </c>
      <c r="CV4" s="6">
        <v>0.0</v>
      </c>
      <c r="CW4" s="6">
        <v>0.0</v>
      </c>
      <c r="CX4" s="6">
        <v>0.0</v>
      </c>
      <c r="CY4" s="6">
        <v>0.0</v>
      </c>
      <c r="CZ4" s="6">
        <v>0.0</v>
      </c>
      <c r="DA4" s="6">
        <v>0.0</v>
      </c>
      <c r="DB4" s="7">
        <v>0.0</v>
      </c>
      <c r="DC4" s="6">
        <v>0.0</v>
      </c>
      <c r="DD4" s="6">
        <v>0.0</v>
      </c>
      <c r="DE4" s="6">
        <v>0.0</v>
      </c>
      <c r="DF4" s="6">
        <v>0.0</v>
      </c>
      <c r="DG4" s="6">
        <v>0.0</v>
      </c>
      <c r="DH4" s="6">
        <v>0.0</v>
      </c>
      <c r="DI4" s="6">
        <v>0.0</v>
      </c>
      <c r="DJ4" s="6">
        <v>0.0</v>
      </c>
      <c r="DK4" s="6">
        <v>0.0</v>
      </c>
      <c r="DL4" s="6">
        <v>0.0</v>
      </c>
      <c r="DM4" s="6">
        <v>0.0</v>
      </c>
      <c r="DN4" s="6">
        <v>0.0</v>
      </c>
      <c r="DO4" s="6">
        <v>0.0</v>
      </c>
      <c r="DP4" s="6">
        <v>0.0</v>
      </c>
      <c r="DQ4" s="7">
        <v>0.0</v>
      </c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</row>
    <row r="5">
      <c r="B5" s="5" t="s">
        <v>4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7">
        <v>0.0</v>
      </c>
      <c r="R5" s="6">
        <v>0.0</v>
      </c>
      <c r="S5" s="6">
        <v>1.0</v>
      </c>
      <c r="T5" s="6">
        <v>0.0</v>
      </c>
      <c r="U5" s="6">
        <v>1.0</v>
      </c>
      <c r="V5" s="6">
        <v>1.0</v>
      </c>
      <c r="W5" s="6">
        <v>0.0</v>
      </c>
      <c r="X5" s="6">
        <v>0.0</v>
      </c>
      <c r="Y5" s="6">
        <v>1.0</v>
      </c>
      <c r="Z5" s="7">
        <v>1.0</v>
      </c>
      <c r="AA5" s="6">
        <v>0.0</v>
      </c>
      <c r="AB5" s="6">
        <v>0.0</v>
      </c>
      <c r="AC5" s="6">
        <v>1.0</v>
      </c>
      <c r="AD5" s="6">
        <v>1.0</v>
      </c>
      <c r="AE5" s="6">
        <v>1.0</v>
      </c>
      <c r="AF5" s="6">
        <v>0.0</v>
      </c>
      <c r="AG5" s="6">
        <v>0.0</v>
      </c>
      <c r="AH5" s="7">
        <v>0.0</v>
      </c>
      <c r="AI5" s="6">
        <v>1.0</v>
      </c>
      <c r="AJ5" s="6">
        <v>0.0</v>
      </c>
      <c r="AK5" s="6">
        <v>0.0</v>
      </c>
      <c r="AL5" s="6">
        <v>1.0</v>
      </c>
      <c r="AM5" s="6">
        <v>1.0</v>
      </c>
      <c r="AN5" s="6">
        <v>1.0</v>
      </c>
      <c r="AO5" s="6">
        <v>0.0</v>
      </c>
      <c r="AP5" s="7">
        <v>0.0</v>
      </c>
      <c r="AQ5" s="6">
        <v>0.0</v>
      </c>
      <c r="AR5" s="6">
        <v>0.0</v>
      </c>
      <c r="AS5" s="6">
        <v>0.0</v>
      </c>
      <c r="AT5" s="6">
        <v>0.0</v>
      </c>
      <c r="AU5" s="6">
        <v>0.0</v>
      </c>
      <c r="AV5" s="6">
        <v>0.0</v>
      </c>
      <c r="AW5" s="6">
        <v>0.0</v>
      </c>
      <c r="AX5" s="7">
        <v>0.0</v>
      </c>
      <c r="AY5" s="6">
        <v>0.0</v>
      </c>
      <c r="AZ5" s="6">
        <v>0.0</v>
      </c>
      <c r="BA5" s="6">
        <v>0.0</v>
      </c>
      <c r="BB5" s="6">
        <v>0.0</v>
      </c>
      <c r="BC5" s="6">
        <v>0.0</v>
      </c>
      <c r="BD5" s="6">
        <v>0.0</v>
      </c>
      <c r="BE5" s="6">
        <v>0.0</v>
      </c>
      <c r="BF5" s="6">
        <v>0.0</v>
      </c>
      <c r="BG5" s="6">
        <v>0.0</v>
      </c>
      <c r="BH5" s="6">
        <v>0.0</v>
      </c>
      <c r="BI5" s="7">
        <v>0.0</v>
      </c>
      <c r="BJ5" s="6">
        <v>0.0</v>
      </c>
      <c r="BK5" s="6">
        <v>0.0</v>
      </c>
      <c r="BL5" s="6">
        <v>0.0</v>
      </c>
      <c r="BM5" s="6">
        <v>1.0</v>
      </c>
      <c r="BN5" s="6">
        <v>1.0</v>
      </c>
      <c r="BO5" s="7">
        <v>0.0</v>
      </c>
      <c r="BP5" s="6">
        <v>1.0</v>
      </c>
      <c r="BQ5" s="6">
        <v>0.0</v>
      </c>
      <c r="BR5" s="6">
        <v>0.0</v>
      </c>
      <c r="BS5" s="6">
        <v>0.0</v>
      </c>
      <c r="BT5" s="6">
        <v>0.0</v>
      </c>
      <c r="BU5" s="6">
        <v>0.0</v>
      </c>
      <c r="BV5" s="7">
        <v>0.0</v>
      </c>
      <c r="BW5" s="6">
        <v>0.0</v>
      </c>
      <c r="BX5" s="6">
        <v>0.0</v>
      </c>
      <c r="BY5" s="6">
        <v>0.0</v>
      </c>
      <c r="BZ5" s="6">
        <v>0.0</v>
      </c>
      <c r="CA5" s="6">
        <v>0.0</v>
      </c>
      <c r="CB5" s="6">
        <v>0.0</v>
      </c>
      <c r="CC5" s="6">
        <v>0.0</v>
      </c>
      <c r="CD5" s="6">
        <v>0.0</v>
      </c>
      <c r="CE5" s="6">
        <v>0.0</v>
      </c>
      <c r="CF5" s="6">
        <v>0.0</v>
      </c>
      <c r="CG5" s="6">
        <v>0.0</v>
      </c>
      <c r="CH5" s="6">
        <v>0.0</v>
      </c>
      <c r="CI5" s="6">
        <v>0.0</v>
      </c>
      <c r="CJ5" s="6">
        <v>0.0</v>
      </c>
      <c r="CK5" s="6">
        <v>0.0</v>
      </c>
      <c r="CL5" s="6">
        <v>0.0</v>
      </c>
      <c r="CM5" s="7">
        <v>0.0</v>
      </c>
      <c r="CN5" s="6">
        <v>0.0</v>
      </c>
      <c r="CO5" s="6">
        <v>0.0</v>
      </c>
      <c r="CP5" s="6">
        <v>0.0</v>
      </c>
      <c r="CQ5" s="6">
        <v>0.0</v>
      </c>
      <c r="CR5" s="6">
        <v>0.0</v>
      </c>
      <c r="CS5" s="6">
        <v>0.0</v>
      </c>
      <c r="CT5" s="6">
        <v>0.0</v>
      </c>
      <c r="CU5" s="6">
        <v>0.0</v>
      </c>
      <c r="CV5" s="6">
        <v>0.0</v>
      </c>
      <c r="CW5" s="6">
        <v>0.0</v>
      </c>
      <c r="CX5" s="6">
        <v>1.0</v>
      </c>
      <c r="CY5" s="6">
        <v>0.0</v>
      </c>
      <c r="CZ5" s="6">
        <v>0.0</v>
      </c>
      <c r="DA5" s="6">
        <v>0.0</v>
      </c>
      <c r="DB5" s="7">
        <v>0.0</v>
      </c>
      <c r="DC5" s="6">
        <v>0.0</v>
      </c>
      <c r="DD5" s="6">
        <v>0.0</v>
      </c>
      <c r="DE5" s="6">
        <v>0.0</v>
      </c>
      <c r="DF5" s="6">
        <v>0.0</v>
      </c>
      <c r="DG5" s="6">
        <v>0.0</v>
      </c>
      <c r="DH5" s="6">
        <v>0.0</v>
      </c>
      <c r="DI5" s="6">
        <v>0.0</v>
      </c>
      <c r="DJ5" s="6">
        <v>0.0</v>
      </c>
      <c r="DK5" s="6">
        <v>0.0</v>
      </c>
      <c r="DL5" s="6">
        <v>0.0</v>
      </c>
      <c r="DM5" s="6">
        <v>0.0</v>
      </c>
      <c r="DN5" s="6">
        <v>0.0</v>
      </c>
      <c r="DO5" s="6">
        <v>0.0</v>
      </c>
      <c r="DP5" s="6">
        <v>0.0</v>
      </c>
      <c r="DQ5" s="7">
        <v>0.0</v>
      </c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</row>
    <row r="6">
      <c r="B6" s="5" t="s">
        <v>5</v>
      </c>
      <c r="C6" s="6">
        <v>1.0</v>
      </c>
      <c r="D6" s="6">
        <v>0.0</v>
      </c>
      <c r="E6" s="6">
        <v>0.0</v>
      </c>
      <c r="F6" s="6">
        <v>0.0</v>
      </c>
      <c r="G6" s="6">
        <v>1.0</v>
      </c>
      <c r="H6" s="6">
        <v>1.0</v>
      </c>
      <c r="I6" s="7">
        <v>0.0</v>
      </c>
      <c r="J6" s="6">
        <v>0.0</v>
      </c>
      <c r="K6" s="6">
        <v>0.0</v>
      </c>
      <c r="L6" s="6">
        <v>0.0</v>
      </c>
      <c r="M6" s="6">
        <v>1.0</v>
      </c>
      <c r="N6" s="6">
        <v>1.0</v>
      </c>
      <c r="O6" s="6">
        <v>0.0</v>
      </c>
      <c r="P6" s="6">
        <v>0.0</v>
      </c>
      <c r="Q6" s="7">
        <v>0.0</v>
      </c>
      <c r="R6" s="6">
        <v>0.0</v>
      </c>
      <c r="S6" s="6">
        <v>1.0</v>
      </c>
      <c r="T6" s="6">
        <v>0.0</v>
      </c>
      <c r="U6" s="6">
        <v>0.0</v>
      </c>
      <c r="V6" s="6">
        <v>0.0</v>
      </c>
      <c r="W6" s="6">
        <v>0.0</v>
      </c>
      <c r="X6" s="6">
        <v>1.0</v>
      </c>
      <c r="Y6" s="6">
        <v>0.0</v>
      </c>
      <c r="Z6" s="7">
        <v>0.0</v>
      </c>
      <c r="AA6" s="6">
        <v>1.0</v>
      </c>
      <c r="AB6" s="6">
        <v>1.0</v>
      </c>
      <c r="AC6" s="6">
        <v>1.0</v>
      </c>
      <c r="AD6" s="6">
        <v>0.0</v>
      </c>
      <c r="AE6" s="6">
        <v>0.0</v>
      </c>
      <c r="AF6" s="6">
        <v>0.0</v>
      </c>
      <c r="AG6" s="6">
        <v>1.0</v>
      </c>
      <c r="AH6" s="7">
        <v>0.0</v>
      </c>
      <c r="AI6" s="6">
        <v>0.0</v>
      </c>
      <c r="AJ6" s="6">
        <v>1.0</v>
      </c>
      <c r="AK6" s="6">
        <v>1.0</v>
      </c>
      <c r="AL6" s="6">
        <v>1.0</v>
      </c>
      <c r="AM6" s="6">
        <v>1.0</v>
      </c>
      <c r="AN6" s="6">
        <v>1.0</v>
      </c>
      <c r="AO6" s="6">
        <v>1.0</v>
      </c>
      <c r="AP6" s="7">
        <v>1.0</v>
      </c>
      <c r="AQ6" s="6">
        <v>0.0</v>
      </c>
      <c r="AR6" s="6">
        <v>0.0</v>
      </c>
      <c r="AS6" s="6">
        <v>1.0</v>
      </c>
      <c r="AT6" s="6">
        <v>0.0</v>
      </c>
      <c r="AU6" s="6">
        <v>1.0</v>
      </c>
      <c r="AV6" s="6">
        <v>0.0</v>
      </c>
      <c r="AW6" s="6">
        <v>0.0</v>
      </c>
      <c r="AX6" s="7">
        <v>0.0</v>
      </c>
      <c r="AY6" s="6">
        <v>0.0</v>
      </c>
      <c r="AZ6" s="6">
        <v>1.0</v>
      </c>
      <c r="BA6" s="6">
        <v>1.0</v>
      </c>
      <c r="BB6" s="6">
        <v>1.0</v>
      </c>
      <c r="BC6" s="6">
        <v>1.0</v>
      </c>
      <c r="BD6" s="6">
        <v>1.0</v>
      </c>
      <c r="BE6" s="6">
        <v>1.0</v>
      </c>
      <c r="BF6" s="6">
        <v>1.0</v>
      </c>
      <c r="BG6" s="6">
        <v>0.0</v>
      </c>
      <c r="BH6" s="6">
        <v>0.0</v>
      </c>
      <c r="BI6" s="7">
        <v>0.0</v>
      </c>
      <c r="BJ6" s="6">
        <v>0.0</v>
      </c>
      <c r="BK6" s="6">
        <v>0.0</v>
      </c>
      <c r="BL6" s="6">
        <v>0.0</v>
      </c>
      <c r="BM6" s="6">
        <v>0.0</v>
      </c>
      <c r="BN6" s="6">
        <v>0.0</v>
      </c>
      <c r="BO6" s="7">
        <v>0.0</v>
      </c>
      <c r="BP6" s="6">
        <v>0.0</v>
      </c>
      <c r="BQ6" s="6">
        <v>0.0</v>
      </c>
      <c r="BR6" s="6">
        <v>1.0</v>
      </c>
      <c r="BS6" s="6">
        <v>1.0</v>
      </c>
      <c r="BT6" s="6">
        <v>0.0</v>
      </c>
      <c r="BU6" s="6">
        <v>0.0</v>
      </c>
      <c r="BV6" s="7">
        <v>1.0</v>
      </c>
      <c r="BW6" s="6">
        <v>0.0</v>
      </c>
      <c r="BX6" s="6">
        <v>0.0</v>
      </c>
      <c r="BY6" s="6">
        <v>1.0</v>
      </c>
      <c r="BZ6" s="6">
        <v>0.0</v>
      </c>
      <c r="CA6" s="6">
        <v>0.0</v>
      </c>
      <c r="CB6" s="6">
        <v>1.0</v>
      </c>
      <c r="CC6" s="6">
        <v>0.0</v>
      </c>
      <c r="CD6" s="6">
        <v>1.0</v>
      </c>
      <c r="CE6" s="6">
        <v>0.0</v>
      </c>
      <c r="CF6" s="6">
        <v>0.0</v>
      </c>
      <c r="CG6" s="6">
        <v>0.0</v>
      </c>
      <c r="CH6" s="6">
        <v>0.0</v>
      </c>
      <c r="CI6" s="6">
        <v>0.0</v>
      </c>
      <c r="CJ6" s="6">
        <v>0.0</v>
      </c>
      <c r="CK6" s="6">
        <v>1.0</v>
      </c>
      <c r="CL6" s="6">
        <v>1.0</v>
      </c>
      <c r="CM6" s="7">
        <v>0.0</v>
      </c>
      <c r="CN6" s="6">
        <v>1.0</v>
      </c>
      <c r="CO6" s="6">
        <v>0.0</v>
      </c>
      <c r="CP6" s="6">
        <v>0.0</v>
      </c>
      <c r="CQ6" s="6">
        <v>0.0</v>
      </c>
      <c r="CR6" s="6">
        <v>0.0</v>
      </c>
      <c r="CS6" s="6">
        <v>0.0</v>
      </c>
      <c r="CT6" s="6">
        <v>0.0</v>
      </c>
      <c r="CU6" s="6">
        <v>1.0</v>
      </c>
      <c r="CV6" s="6">
        <v>1.0</v>
      </c>
      <c r="CW6" s="6">
        <v>1.0</v>
      </c>
      <c r="CX6" s="6">
        <v>0.0</v>
      </c>
      <c r="CY6" s="6">
        <v>0.0</v>
      </c>
      <c r="CZ6" s="6">
        <v>1.0</v>
      </c>
      <c r="DA6" s="6">
        <v>1.0</v>
      </c>
      <c r="DB6" s="7">
        <v>0.0</v>
      </c>
      <c r="DC6" s="6">
        <v>1.0</v>
      </c>
      <c r="DD6" s="6">
        <v>0.0</v>
      </c>
      <c r="DE6" s="6">
        <v>0.0</v>
      </c>
      <c r="DF6" s="6">
        <v>0.0</v>
      </c>
      <c r="DG6" s="6">
        <v>0.0</v>
      </c>
      <c r="DH6" s="6">
        <v>0.0</v>
      </c>
      <c r="DI6" s="6">
        <v>0.0</v>
      </c>
      <c r="DJ6" s="6">
        <v>0.0</v>
      </c>
      <c r="DK6" s="6">
        <v>0.0</v>
      </c>
      <c r="DL6" s="6">
        <v>0.0</v>
      </c>
      <c r="DM6" s="6">
        <v>0.0</v>
      </c>
      <c r="DN6" s="6">
        <v>0.0</v>
      </c>
      <c r="DO6" s="6">
        <v>0.0</v>
      </c>
      <c r="DP6" s="6">
        <v>0.0</v>
      </c>
      <c r="DQ6" s="7">
        <v>0.0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</row>
    <row r="7">
      <c r="B7" s="5" t="s">
        <v>6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1.0</v>
      </c>
      <c r="I7" s="7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7">
        <v>0.0</v>
      </c>
      <c r="R7" s="6">
        <v>0.0</v>
      </c>
      <c r="S7" s="6">
        <v>0.0</v>
      </c>
      <c r="T7" s="6">
        <v>0.0</v>
      </c>
      <c r="U7" s="6">
        <v>0.0</v>
      </c>
      <c r="V7" s="6">
        <v>1.0</v>
      </c>
      <c r="W7" s="6">
        <v>1.0</v>
      </c>
      <c r="X7" s="6">
        <v>0.0</v>
      </c>
      <c r="Y7" s="6">
        <v>0.0</v>
      </c>
      <c r="Z7" s="7">
        <v>0.0</v>
      </c>
      <c r="AA7" s="6">
        <v>0.0</v>
      </c>
      <c r="AB7" s="6">
        <v>0.0</v>
      </c>
      <c r="AC7" s="6">
        <v>1.0</v>
      </c>
      <c r="AD7" s="6">
        <v>0.0</v>
      </c>
      <c r="AE7" s="6">
        <v>1.0</v>
      </c>
      <c r="AF7" s="6">
        <v>0.0</v>
      </c>
      <c r="AG7" s="6">
        <v>0.0</v>
      </c>
      <c r="AH7" s="7">
        <v>0.0</v>
      </c>
      <c r="AI7" s="6">
        <v>0.0</v>
      </c>
      <c r="AJ7" s="6">
        <v>0.0</v>
      </c>
      <c r="AK7" s="6">
        <v>0.0</v>
      </c>
      <c r="AL7" s="6">
        <v>0.0</v>
      </c>
      <c r="AM7" s="6">
        <v>0.0</v>
      </c>
      <c r="AN7" s="6">
        <v>0.0</v>
      </c>
      <c r="AO7" s="6">
        <v>0.0</v>
      </c>
      <c r="AP7" s="7">
        <v>0.0</v>
      </c>
      <c r="AQ7" s="6">
        <v>0.0</v>
      </c>
      <c r="AR7" s="6">
        <v>0.0</v>
      </c>
      <c r="AS7" s="6">
        <v>0.0</v>
      </c>
      <c r="AT7" s="6">
        <v>0.0</v>
      </c>
      <c r="AU7" s="6">
        <v>0.0</v>
      </c>
      <c r="AV7" s="6">
        <v>0.0</v>
      </c>
      <c r="AW7" s="6">
        <v>0.0</v>
      </c>
      <c r="AX7" s="7">
        <v>0.0</v>
      </c>
      <c r="AY7" s="6">
        <v>0.0</v>
      </c>
      <c r="AZ7" s="6">
        <v>0.0</v>
      </c>
      <c r="BA7" s="6">
        <v>0.0</v>
      </c>
      <c r="BB7" s="6">
        <v>0.0</v>
      </c>
      <c r="BC7" s="6">
        <v>1.0</v>
      </c>
      <c r="BD7" s="6">
        <v>0.0</v>
      </c>
      <c r="BE7" s="6">
        <v>0.0</v>
      </c>
      <c r="BF7" s="6">
        <v>0.0</v>
      </c>
      <c r="BG7" s="6">
        <v>0.0</v>
      </c>
      <c r="BH7" s="6">
        <v>0.0</v>
      </c>
      <c r="BI7" s="7">
        <v>0.0</v>
      </c>
      <c r="BJ7" s="6">
        <v>0.0</v>
      </c>
      <c r="BK7" s="6">
        <v>0.0</v>
      </c>
      <c r="BL7" s="6">
        <v>0.0</v>
      </c>
      <c r="BM7" s="6">
        <v>0.0</v>
      </c>
      <c r="BN7" s="6">
        <v>0.0</v>
      </c>
      <c r="BO7" s="7">
        <v>0.0</v>
      </c>
      <c r="BP7" s="6">
        <v>0.0</v>
      </c>
      <c r="BQ7" s="6">
        <v>0.0</v>
      </c>
      <c r="BR7" s="6">
        <v>0.0</v>
      </c>
      <c r="BS7" s="6">
        <v>0.0</v>
      </c>
      <c r="BT7" s="6">
        <v>0.0</v>
      </c>
      <c r="BU7" s="6">
        <v>0.0</v>
      </c>
      <c r="BV7" s="7">
        <v>1.0</v>
      </c>
      <c r="BW7" s="6">
        <v>0.0</v>
      </c>
      <c r="BX7" s="6">
        <v>0.0</v>
      </c>
      <c r="BY7" s="6">
        <v>0.0</v>
      </c>
      <c r="BZ7" s="6">
        <v>0.0</v>
      </c>
      <c r="CA7" s="6">
        <v>0.0</v>
      </c>
      <c r="CB7" s="6">
        <v>1.0</v>
      </c>
      <c r="CC7" s="6">
        <v>1.0</v>
      </c>
      <c r="CD7" s="6">
        <v>1.0</v>
      </c>
      <c r="CE7" s="6">
        <v>0.0</v>
      </c>
      <c r="CF7" s="6">
        <v>0.0</v>
      </c>
      <c r="CG7" s="6">
        <v>0.0</v>
      </c>
      <c r="CH7" s="6">
        <v>0.0</v>
      </c>
      <c r="CI7" s="6">
        <v>0.0</v>
      </c>
      <c r="CJ7" s="6">
        <v>1.0</v>
      </c>
      <c r="CK7" s="6">
        <v>0.0</v>
      </c>
      <c r="CL7" s="6">
        <v>0.0</v>
      </c>
      <c r="CM7" s="7">
        <v>0.0</v>
      </c>
      <c r="CN7" s="6">
        <v>0.0</v>
      </c>
      <c r="CO7" s="6">
        <v>0.0</v>
      </c>
      <c r="CP7" s="6">
        <v>0.0</v>
      </c>
      <c r="CQ7" s="6">
        <v>0.0</v>
      </c>
      <c r="CR7" s="6">
        <v>0.0</v>
      </c>
      <c r="CS7" s="6">
        <v>0.0</v>
      </c>
      <c r="CT7" s="6">
        <v>0.0</v>
      </c>
      <c r="CU7" s="6">
        <v>0.0</v>
      </c>
      <c r="CV7" s="6">
        <v>0.0</v>
      </c>
      <c r="CW7" s="6">
        <v>0.0</v>
      </c>
      <c r="CX7" s="6">
        <v>0.0</v>
      </c>
      <c r="CY7" s="6">
        <v>0.0</v>
      </c>
      <c r="CZ7" s="6">
        <v>0.0</v>
      </c>
      <c r="DA7" s="6">
        <v>0.0</v>
      </c>
      <c r="DB7" s="7">
        <v>0.0</v>
      </c>
      <c r="DC7" s="6">
        <v>0.0</v>
      </c>
      <c r="DD7" s="6">
        <v>0.0</v>
      </c>
      <c r="DE7" s="6">
        <v>0.0</v>
      </c>
      <c r="DF7" s="6">
        <v>0.0</v>
      </c>
      <c r="DG7" s="6">
        <v>0.0</v>
      </c>
      <c r="DH7" s="6">
        <v>0.0</v>
      </c>
      <c r="DI7" s="6">
        <v>0.0</v>
      </c>
      <c r="DJ7" s="6">
        <v>0.0</v>
      </c>
      <c r="DK7" s="6">
        <v>0.0</v>
      </c>
      <c r="DL7" s="6">
        <v>0.0</v>
      </c>
      <c r="DM7" s="6">
        <v>0.0</v>
      </c>
      <c r="DN7" s="6">
        <v>0.0</v>
      </c>
      <c r="DO7" s="6">
        <v>0.0</v>
      </c>
      <c r="DP7" s="6">
        <v>0.0</v>
      </c>
      <c r="DQ7" s="7">
        <v>0.0</v>
      </c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</row>
    <row r="8">
      <c r="B8" s="5" t="s">
        <v>7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7">
        <v>1.0</v>
      </c>
      <c r="J8" s="6">
        <v>0.0</v>
      </c>
      <c r="K8" s="6">
        <v>0.0</v>
      </c>
      <c r="L8" s="6">
        <v>1.0</v>
      </c>
      <c r="M8" s="6">
        <v>1.0</v>
      </c>
      <c r="N8" s="6">
        <v>0.0</v>
      </c>
      <c r="O8" s="6">
        <v>0.0</v>
      </c>
      <c r="P8" s="6">
        <v>0.0</v>
      </c>
      <c r="Q8" s="7">
        <v>0.0</v>
      </c>
      <c r="R8" s="6">
        <v>0.0</v>
      </c>
      <c r="S8" s="6">
        <v>0.0</v>
      </c>
      <c r="T8" s="6">
        <v>0.0</v>
      </c>
      <c r="U8" s="6">
        <v>0.0</v>
      </c>
      <c r="V8" s="6">
        <v>1.0</v>
      </c>
      <c r="W8" s="6">
        <v>0.0</v>
      </c>
      <c r="X8" s="6">
        <v>0.0</v>
      </c>
      <c r="Y8" s="6">
        <v>0.0</v>
      </c>
      <c r="Z8" s="7">
        <v>1.0</v>
      </c>
      <c r="AA8" s="6">
        <v>1.0</v>
      </c>
      <c r="AB8" s="6">
        <v>1.0</v>
      </c>
      <c r="AC8" s="6">
        <v>0.0</v>
      </c>
      <c r="AD8" s="6">
        <v>0.0</v>
      </c>
      <c r="AE8" s="6">
        <v>1.0</v>
      </c>
      <c r="AF8" s="6">
        <v>0.0</v>
      </c>
      <c r="AG8" s="6">
        <v>0.0</v>
      </c>
      <c r="AH8" s="7">
        <v>0.0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0.0</v>
      </c>
      <c r="AO8" s="6">
        <v>0.0</v>
      </c>
      <c r="AP8" s="7">
        <v>0.0</v>
      </c>
      <c r="AQ8" s="6">
        <v>0.0</v>
      </c>
      <c r="AR8" s="6">
        <v>0.0</v>
      </c>
      <c r="AS8" s="6">
        <v>0.0</v>
      </c>
      <c r="AT8" s="6">
        <v>0.0</v>
      </c>
      <c r="AU8" s="6">
        <v>0.0</v>
      </c>
      <c r="AV8" s="6">
        <v>0.0</v>
      </c>
      <c r="AW8" s="6">
        <v>1.0</v>
      </c>
      <c r="AX8" s="7">
        <v>0.0</v>
      </c>
      <c r="AY8" s="6">
        <v>0.0</v>
      </c>
      <c r="AZ8" s="6">
        <v>0.0</v>
      </c>
      <c r="BA8" s="6">
        <v>0.0</v>
      </c>
      <c r="BB8" s="6">
        <v>0.0</v>
      </c>
      <c r="BC8" s="6">
        <v>0.0</v>
      </c>
      <c r="BD8" s="6">
        <v>0.0</v>
      </c>
      <c r="BE8" s="6">
        <v>0.0</v>
      </c>
      <c r="BF8" s="6">
        <v>0.0</v>
      </c>
      <c r="BG8" s="6">
        <v>0.0</v>
      </c>
      <c r="BH8" s="6">
        <v>0.0</v>
      </c>
      <c r="BI8" s="7">
        <v>0.0</v>
      </c>
      <c r="BJ8" s="6">
        <v>0.0</v>
      </c>
      <c r="BK8" s="6">
        <v>0.0</v>
      </c>
      <c r="BL8" s="6">
        <v>0.0</v>
      </c>
      <c r="BM8" s="6">
        <v>1.0</v>
      </c>
      <c r="BN8" s="6">
        <v>1.0</v>
      </c>
      <c r="BO8" s="7">
        <v>0.0</v>
      </c>
      <c r="BP8" s="6">
        <v>0.0</v>
      </c>
      <c r="BQ8" s="6">
        <v>1.0</v>
      </c>
      <c r="BR8" s="6">
        <v>0.0</v>
      </c>
      <c r="BS8" s="6">
        <v>0.0</v>
      </c>
      <c r="BT8" s="6">
        <v>1.0</v>
      </c>
      <c r="BU8" s="6">
        <v>0.0</v>
      </c>
      <c r="BV8" s="7">
        <v>1.0</v>
      </c>
      <c r="BW8" s="6">
        <v>1.0</v>
      </c>
      <c r="BX8" s="6">
        <v>0.0</v>
      </c>
      <c r="BY8" s="6">
        <v>1.0</v>
      </c>
      <c r="BZ8" s="6">
        <v>0.0</v>
      </c>
      <c r="CA8" s="6">
        <v>0.0</v>
      </c>
      <c r="CB8" s="6">
        <v>0.0</v>
      </c>
      <c r="CC8" s="6">
        <v>0.0</v>
      </c>
      <c r="CD8" s="6">
        <v>0.0</v>
      </c>
      <c r="CE8" s="6">
        <v>0.0</v>
      </c>
      <c r="CF8" s="6">
        <v>0.0</v>
      </c>
      <c r="CG8" s="6">
        <v>0.0</v>
      </c>
      <c r="CH8" s="6">
        <v>0.0</v>
      </c>
      <c r="CI8" s="6">
        <v>0.0</v>
      </c>
      <c r="CJ8" s="6">
        <v>0.0</v>
      </c>
      <c r="CK8" s="6">
        <v>0.0</v>
      </c>
      <c r="CL8" s="6">
        <v>0.0</v>
      </c>
      <c r="CM8" s="7">
        <v>0.0</v>
      </c>
      <c r="CN8" s="6">
        <v>0.0</v>
      </c>
      <c r="CO8" s="6">
        <v>0.0</v>
      </c>
      <c r="CP8" s="6">
        <v>0.0</v>
      </c>
      <c r="CQ8" s="6">
        <v>0.0</v>
      </c>
      <c r="CR8" s="6">
        <v>0.0</v>
      </c>
      <c r="CS8" s="6">
        <v>0.0</v>
      </c>
      <c r="CT8" s="6">
        <v>0.0</v>
      </c>
      <c r="CU8" s="6">
        <v>0.0</v>
      </c>
      <c r="CV8" s="6">
        <v>0.0</v>
      </c>
      <c r="CW8" s="6">
        <v>0.0</v>
      </c>
      <c r="CX8" s="6">
        <v>0.0</v>
      </c>
      <c r="CY8" s="6">
        <v>0.0</v>
      </c>
      <c r="CZ8" s="6">
        <v>0.0</v>
      </c>
      <c r="DA8" s="6">
        <v>0.0</v>
      </c>
      <c r="DB8" s="7">
        <v>0.0</v>
      </c>
      <c r="DC8" s="6">
        <v>0.0</v>
      </c>
      <c r="DD8" s="6">
        <v>0.0</v>
      </c>
      <c r="DE8" s="6">
        <v>0.0</v>
      </c>
      <c r="DF8" s="6">
        <v>0.0</v>
      </c>
      <c r="DG8" s="6">
        <v>0.0</v>
      </c>
      <c r="DH8" s="6">
        <v>0.0</v>
      </c>
      <c r="DI8" s="6">
        <v>0.0</v>
      </c>
      <c r="DJ8" s="6">
        <v>0.0</v>
      </c>
      <c r="DK8" s="6">
        <v>1.0</v>
      </c>
      <c r="DL8" s="6">
        <v>0.0</v>
      </c>
      <c r="DM8" s="6">
        <v>0.0</v>
      </c>
      <c r="DN8" s="6">
        <v>1.0</v>
      </c>
      <c r="DO8" s="6">
        <v>0.0</v>
      </c>
      <c r="DP8" s="6">
        <v>0.0</v>
      </c>
      <c r="DQ8" s="7">
        <v>0.0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</row>
    <row r="9">
      <c r="B9" s="5" t="s">
        <v>8</v>
      </c>
      <c r="C9" s="6">
        <v>0.0</v>
      </c>
      <c r="D9" s="6">
        <v>0.0</v>
      </c>
      <c r="E9" s="6">
        <v>0.0</v>
      </c>
      <c r="F9" s="6">
        <v>0.0</v>
      </c>
      <c r="G9" s="6">
        <v>1.0</v>
      </c>
      <c r="H9" s="6">
        <v>0.0</v>
      </c>
      <c r="I9" s="7">
        <v>0.0</v>
      </c>
      <c r="J9" s="6">
        <v>0.0</v>
      </c>
      <c r="K9" s="6">
        <v>0.0</v>
      </c>
      <c r="L9" s="6">
        <v>1.0</v>
      </c>
      <c r="M9" s="6">
        <v>0.0</v>
      </c>
      <c r="N9" s="6">
        <v>0.0</v>
      </c>
      <c r="O9" s="6">
        <v>0.0</v>
      </c>
      <c r="P9" s="6">
        <v>0.0</v>
      </c>
      <c r="Q9" s="7">
        <v>0.0</v>
      </c>
      <c r="R9" s="6">
        <v>1.0</v>
      </c>
      <c r="S9" s="6">
        <v>0.0</v>
      </c>
      <c r="T9" s="6">
        <v>0.0</v>
      </c>
      <c r="U9" s="6">
        <v>1.0</v>
      </c>
      <c r="V9" s="6">
        <v>0.0</v>
      </c>
      <c r="W9" s="6">
        <v>0.0</v>
      </c>
      <c r="X9" s="6">
        <v>0.0</v>
      </c>
      <c r="Y9" s="6">
        <v>0.0</v>
      </c>
      <c r="Z9" s="7">
        <v>1.0</v>
      </c>
      <c r="AA9" s="6">
        <v>1.0</v>
      </c>
      <c r="AB9" s="6">
        <v>0.0</v>
      </c>
      <c r="AC9" s="6">
        <v>0.0</v>
      </c>
      <c r="AD9" s="6">
        <v>0.0</v>
      </c>
      <c r="AE9" s="6">
        <v>0.0</v>
      </c>
      <c r="AF9" s="6">
        <v>0.0</v>
      </c>
      <c r="AG9" s="6">
        <v>0.0</v>
      </c>
      <c r="AH9" s="7">
        <v>0.0</v>
      </c>
      <c r="AI9" s="6">
        <v>0.0</v>
      </c>
      <c r="AJ9" s="6">
        <v>0.0</v>
      </c>
      <c r="AK9" s="6">
        <v>0.0</v>
      </c>
      <c r="AL9" s="6">
        <v>0.0</v>
      </c>
      <c r="AM9" s="6">
        <v>0.0</v>
      </c>
      <c r="AN9" s="6">
        <v>0.0</v>
      </c>
      <c r="AO9" s="6">
        <v>0.0</v>
      </c>
      <c r="AP9" s="7">
        <v>0.0</v>
      </c>
      <c r="AQ9" s="6">
        <v>0.0</v>
      </c>
      <c r="AR9" s="6">
        <v>0.0</v>
      </c>
      <c r="AS9" s="6">
        <v>0.0</v>
      </c>
      <c r="AT9" s="6">
        <v>0.0</v>
      </c>
      <c r="AU9" s="6">
        <v>0.0</v>
      </c>
      <c r="AV9" s="6">
        <v>0.0</v>
      </c>
      <c r="AW9" s="6">
        <v>0.0</v>
      </c>
      <c r="AX9" s="7">
        <v>0.0</v>
      </c>
      <c r="AY9" s="6">
        <v>0.0</v>
      </c>
      <c r="AZ9" s="6">
        <v>0.0</v>
      </c>
      <c r="BA9" s="6">
        <v>0.0</v>
      </c>
      <c r="BB9" s="6">
        <v>0.0</v>
      </c>
      <c r="BC9" s="6">
        <v>0.0</v>
      </c>
      <c r="BD9" s="6">
        <v>0.0</v>
      </c>
      <c r="BE9" s="6">
        <v>0.0</v>
      </c>
      <c r="BF9" s="6">
        <v>0.0</v>
      </c>
      <c r="BG9" s="6">
        <v>0.0</v>
      </c>
      <c r="BH9" s="6">
        <v>0.0</v>
      </c>
      <c r="BI9" s="7">
        <v>0.0</v>
      </c>
      <c r="BJ9" s="6">
        <v>0.0</v>
      </c>
      <c r="BK9" s="6">
        <v>0.0</v>
      </c>
      <c r="BL9" s="6">
        <v>0.0</v>
      </c>
      <c r="BM9" s="6">
        <v>0.0</v>
      </c>
      <c r="BN9" s="6">
        <v>0.0</v>
      </c>
      <c r="BO9" s="7">
        <v>0.0</v>
      </c>
      <c r="BP9" s="6">
        <v>0.0</v>
      </c>
      <c r="BQ9" s="6">
        <v>0.0</v>
      </c>
      <c r="BR9" s="6">
        <v>0.0</v>
      </c>
      <c r="BS9" s="6">
        <v>0.0</v>
      </c>
      <c r="BT9" s="6">
        <v>0.0</v>
      </c>
      <c r="BU9" s="6">
        <v>0.0</v>
      </c>
      <c r="BV9" s="7">
        <v>1.0</v>
      </c>
      <c r="BW9" s="6">
        <v>0.0</v>
      </c>
      <c r="BX9" s="6">
        <v>0.0</v>
      </c>
      <c r="BY9" s="6">
        <v>0.0</v>
      </c>
      <c r="BZ9" s="6">
        <v>0.0</v>
      </c>
      <c r="CA9" s="6">
        <v>0.0</v>
      </c>
      <c r="CB9" s="6">
        <v>1.0</v>
      </c>
      <c r="CC9" s="6">
        <v>0.0</v>
      </c>
      <c r="CD9" s="6">
        <v>1.0</v>
      </c>
      <c r="CE9" s="6">
        <v>0.0</v>
      </c>
      <c r="CF9" s="6">
        <v>0.0</v>
      </c>
      <c r="CG9" s="6">
        <v>0.0</v>
      </c>
      <c r="CH9" s="6">
        <v>0.0</v>
      </c>
      <c r="CI9" s="6">
        <v>0.0</v>
      </c>
      <c r="CJ9" s="6">
        <v>0.0</v>
      </c>
      <c r="CK9" s="6">
        <v>0.0</v>
      </c>
      <c r="CL9" s="6">
        <v>0.0</v>
      </c>
      <c r="CM9" s="7">
        <v>0.0</v>
      </c>
      <c r="CN9" s="6">
        <v>0.0</v>
      </c>
      <c r="CO9" s="6">
        <v>0.0</v>
      </c>
      <c r="CP9" s="6">
        <v>0.0</v>
      </c>
      <c r="CQ9" s="6">
        <v>0.0</v>
      </c>
      <c r="CR9" s="6">
        <v>0.0</v>
      </c>
      <c r="CS9" s="6">
        <v>0.0</v>
      </c>
      <c r="CT9" s="6">
        <v>1.0</v>
      </c>
      <c r="CU9" s="6">
        <v>0.0</v>
      </c>
      <c r="CV9" s="6">
        <v>0.0</v>
      </c>
      <c r="CW9" s="6">
        <v>0.0</v>
      </c>
      <c r="CX9" s="6">
        <v>0.0</v>
      </c>
      <c r="CY9" s="6">
        <v>0.0</v>
      </c>
      <c r="CZ9" s="6">
        <v>0.0</v>
      </c>
      <c r="DA9" s="6">
        <v>0.0</v>
      </c>
      <c r="DB9" s="7">
        <v>0.0</v>
      </c>
      <c r="DC9" s="6">
        <v>0.0</v>
      </c>
      <c r="DD9" s="6">
        <v>0.0</v>
      </c>
      <c r="DE9" s="6">
        <v>0.0</v>
      </c>
      <c r="DF9" s="6">
        <v>0.0</v>
      </c>
      <c r="DG9" s="6">
        <v>0.0</v>
      </c>
      <c r="DH9" s="6">
        <v>0.0</v>
      </c>
      <c r="DI9" s="6">
        <v>0.0</v>
      </c>
      <c r="DJ9" s="6">
        <v>0.0</v>
      </c>
      <c r="DK9" s="6">
        <v>0.0</v>
      </c>
      <c r="DL9" s="6">
        <v>0.0</v>
      </c>
      <c r="DM9" s="6">
        <v>0.0</v>
      </c>
      <c r="DN9" s="6">
        <v>0.0</v>
      </c>
      <c r="DO9" s="6">
        <v>0.0</v>
      </c>
      <c r="DP9" s="6">
        <v>0.0</v>
      </c>
      <c r="DQ9" s="7">
        <v>0.0</v>
      </c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</row>
    <row r="10">
      <c r="B10" s="5" t="s">
        <v>9</v>
      </c>
      <c r="C10" s="6">
        <v>0.0</v>
      </c>
      <c r="D10" s="6">
        <v>0.0</v>
      </c>
      <c r="E10" s="6">
        <v>0.0</v>
      </c>
      <c r="F10" s="6">
        <v>1.0</v>
      </c>
      <c r="G10" s="6">
        <v>0.0</v>
      </c>
      <c r="H10" s="6">
        <v>0.0</v>
      </c>
      <c r="I10" s="7">
        <v>0.0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7">
        <v>0.0</v>
      </c>
      <c r="R10" s="6">
        <v>1.0</v>
      </c>
      <c r="S10" s="6">
        <v>1.0</v>
      </c>
      <c r="T10" s="6">
        <v>0.0</v>
      </c>
      <c r="U10" s="6">
        <v>0.0</v>
      </c>
      <c r="V10" s="6">
        <v>0.0</v>
      </c>
      <c r="W10" s="6">
        <v>0.0</v>
      </c>
      <c r="X10" s="6">
        <v>0.0</v>
      </c>
      <c r="Y10" s="6">
        <v>0.0</v>
      </c>
      <c r="Z10" s="7">
        <v>0.0</v>
      </c>
      <c r="AA10" s="6">
        <v>0.0</v>
      </c>
      <c r="AB10" s="6">
        <v>1.0</v>
      </c>
      <c r="AC10" s="6">
        <v>0.0</v>
      </c>
      <c r="AD10" s="6">
        <v>0.0</v>
      </c>
      <c r="AE10" s="6">
        <v>1.0</v>
      </c>
      <c r="AF10" s="6">
        <v>0.0</v>
      </c>
      <c r="AG10" s="6">
        <v>0.0</v>
      </c>
      <c r="AH10" s="7">
        <v>0.0</v>
      </c>
      <c r="AI10" s="6">
        <v>0.0</v>
      </c>
      <c r="AJ10" s="6">
        <v>0.0</v>
      </c>
      <c r="AK10" s="6">
        <v>1.0</v>
      </c>
      <c r="AL10" s="6">
        <v>0.0</v>
      </c>
      <c r="AM10" s="6">
        <v>0.0</v>
      </c>
      <c r="AN10" s="6">
        <v>0.0</v>
      </c>
      <c r="AO10" s="6">
        <v>0.0</v>
      </c>
      <c r="AP10" s="7">
        <v>1.0</v>
      </c>
      <c r="AQ10" s="6">
        <v>0.0</v>
      </c>
      <c r="AR10" s="6">
        <v>0.0</v>
      </c>
      <c r="AS10" s="6">
        <v>0.0</v>
      </c>
      <c r="AT10" s="6">
        <v>0.0</v>
      </c>
      <c r="AU10" s="6">
        <v>0.0</v>
      </c>
      <c r="AV10" s="6">
        <v>0.0</v>
      </c>
      <c r="AW10" s="6">
        <v>1.0</v>
      </c>
      <c r="AX10" s="7">
        <v>0.0</v>
      </c>
      <c r="AY10" s="6">
        <v>0.0</v>
      </c>
      <c r="AZ10" s="6">
        <v>0.0</v>
      </c>
      <c r="BA10" s="6">
        <v>0.0</v>
      </c>
      <c r="BB10" s="6">
        <v>0.0</v>
      </c>
      <c r="BC10" s="6">
        <v>0.0</v>
      </c>
      <c r="BD10" s="6">
        <v>0.0</v>
      </c>
      <c r="BE10" s="6">
        <v>0.0</v>
      </c>
      <c r="BF10" s="6">
        <v>0.0</v>
      </c>
      <c r="BG10" s="6">
        <v>0.0</v>
      </c>
      <c r="BH10" s="6">
        <v>0.0</v>
      </c>
      <c r="BI10" s="7">
        <v>0.0</v>
      </c>
      <c r="BJ10" s="6">
        <v>0.0</v>
      </c>
      <c r="BK10" s="6">
        <v>1.0</v>
      </c>
      <c r="BL10" s="6">
        <v>0.0</v>
      </c>
      <c r="BM10" s="6">
        <v>1.0</v>
      </c>
      <c r="BN10" s="6">
        <v>0.0</v>
      </c>
      <c r="BO10" s="7">
        <v>0.0</v>
      </c>
      <c r="BP10" s="6">
        <v>0.0</v>
      </c>
      <c r="BQ10" s="6">
        <v>0.0</v>
      </c>
      <c r="BR10" s="6">
        <v>1.0</v>
      </c>
      <c r="BS10" s="6">
        <v>0.0</v>
      </c>
      <c r="BT10" s="6">
        <v>1.0</v>
      </c>
      <c r="BU10" s="6">
        <v>0.0</v>
      </c>
      <c r="BV10" s="7">
        <v>1.0</v>
      </c>
      <c r="BW10" s="6">
        <v>0.0</v>
      </c>
      <c r="BX10" s="6">
        <v>0.0</v>
      </c>
      <c r="BY10" s="6">
        <v>0.0</v>
      </c>
      <c r="BZ10" s="6">
        <v>0.0</v>
      </c>
      <c r="CA10" s="6">
        <v>0.0</v>
      </c>
      <c r="CB10" s="6">
        <v>0.0</v>
      </c>
      <c r="CC10" s="6">
        <v>0.0</v>
      </c>
      <c r="CD10" s="6">
        <v>1.0</v>
      </c>
      <c r="CE10" s="6">
        <v>0.0</v>
      </c>
      <c r="CF10" s="6">
        <v>0.0</v>
      </c>
      <c r="CG10" s="6">
        <v>0.0</v>
      </c>
      <c r="CH10" s="6">
        <v>0.0</v>
      </c>
      <c r="CI10" s="6">
        <v>0.0</v>
      </c>
      <c r="CJ10" s="6">
        <v>0.0</v>
      </c>
      <c r="CK10" s="6">
        <v>0.0</v>
      </c>
      <c r="CL10" s="6">
        <v>0.0</v>
      </c>
      <c r="CM10" s="7">
        <v>0.0</v>
      </c>
      <c r="CN10" s="6">
        <v>0.0</v>
      </c>
      <c r="CO10" s="6">
        <v>0.0</v>
      </c>
      <c r="CP10" s="6">
        <v>0.0</v>
      </c>
      <c r="CQ10" s="6">
        <v>0.0</v>
      </c>
      <c r="CR10" s="6">
        <v>0.0</v>
      </c>
      <c r="CS10" s="6">
        <v>0.0</v>
      </c>
      <c r="CT10" s="6">
        <v>0.0</v>
      </c>
      <c r="CU10" s="6">
        <v>0.0</v>
      </c>
      <c r="CV10" s="6">
        <v>0.0</v>
      </c>
      <c r="CW10" s="6">
        <v>0.0</v>
      </c>
      <c r="CX10" s="6">
        <v>0.0</v>
      </c>
      <c r="CY10" s="6">
        <v>0.0</v>
      </c>
      <c r="CZ10" s="6">
        <v>0.0</v>
      </c>
      <c r="DA10" s="6">
        <v>0.0</v>
      </c>
      <c r="DB10" s="7">
        <v>0.0</v>
      </c>
      <c r="DC10" s="6">
        <v>0.0</v>
      </c>
      <c r="DD10" s="6">
        <v>0.0</v>
      </c>
      <c r="DE10" s="6">
        <v>0.0</v>
      </c>
      <c r="DF10" s="6">
        <v>0.0</v>
      </c>
      <c r="DG10" s="6">
        <v>0.0</v>
      </c>
      <c r="DH10" s="6">
        <v>0.0</v>
      </c>
      <c r="DI10" s="6">
        <v>0.0</v>
      </c>
      <c r="DJ10" s="6">
        <v>0.0</v>
      </c>
      <c r="DK10" s="6">
        <v>1.0</v>
      </c>
      <c r="DL10" s="6">
        <v>1.0</v>
      </c>
      <c r="DM10" s="6">
        <v>0.0</v>
      </c>
      <c r="DN10" s="6">
        <v>1.0</v>
      </c>
      <c r="DO10" s="6">
        <v>0.0</v>
      </c>
      <c r="DP10" s="6">
        <v>0.0</v>
      </c>
      <c r="DQ10" s="7">
        <v>1.0</v>
      </c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</row>
    <row r="11">
      <c r="B11" s="5" t="s">
        <v>10</v>
      </c>
      <c r="C11" s="6">
        <v>0.0</v>
      </c>
      <c r="D11" s="6">
        <v>0.0</v>
      </c>
      <c r="E11" s="6">
        <v>1.0</v>
      </c>
      <c r="F11" s="6">
        <v>0.0</v>
      </c>
      <c r="G11" s="6">
        <v>0.0</v>
      </c>
      <c r="H11" s="6">
        <v>0.0</v>
      </c>
      <c r="I11" s="7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7">
        <v>0.0</v>
      </c>
      <c r="R11" s="6">
        <v>0.0</v>
      </c>
      <c r="S11" s="6">
        <v>0.0</v>
      </c>
      <c r="T11" s="6">
        <v>0.0</v>
      </c>
      <c r="U11" s="6">
        <v>0.0</v>
      </c>
      <c r="V11" s="6">
        <v>0.0</v>
      </c>
      <c r="W11" s="6">
        <v>0.0</v>
      </c>
      <c r="X11" s="6">
        <v>0.0</v>
      </c>
      <c r="Y11" s="6">
        <v>0.0</v>
      </c>
      <c r="Z11" s="7">
        <v>0.0</v>
      </c>
      <c r="AA11" s="6">
        <v>0.0</v>
      </c>
      <c r="AB11" s="6">
        <v>0.0</v>
      </c>
      <c r="AC11" s="6">
        <v>0.0</v>
      </c>
      <c r="AD11" s="6">
        <v>0.0</v>
      </c>
      <c r="AE11" s="6">
        <v>0.0</v>
      </c>
      <c r="AF11" s="6">
        <v>0.0</v>
      </c>
      <c r="AG11" s="6">
        <v>0.0</v>
      </c>
      <c r="AH11" s="7">
        <v>0.0</v>
      </c>
      <c r="AI11" s="6">
        <v>0.0</v>
      </c>
      <c r="AJ11" s="6">
        <v>0.0</v>
      </c>
      <c r="AK11" s="6">
        <v>0.0</v>
      </c>
      <c r="AL11" s="6">
        <v>0.0</v>
      </c>
      <c r="AM11" s="6">
        <v>0.0</v>
      </c>
      <c r="AN11" s="6">
        <v>0.0</v>
      </c>
      <c r="AO11" s="6">
        <v>0.0</v>
      </c>
      <c r="AP11" s="7">
        <v>0.0</v>
      </c>
      <c r="AQ11" s="6">
        <v>0.0</v>
      </c>
      <c r="AR11" s="6">
        <v>0.0</v>
      </c>
      <c r="AS11" s="6">
        <v>0.0</v>
      </c>
      <c r="AT11" s="6">
        <v>0.0</v>
      </c>
      <c r="AU11" s="6">
        <v>0.0</v>
      </c>
      <c r="AV11" s="6">
        <v>0.0</v>
      </c>
      <c r="AW11" s="6">
        <v>0.0</v>
      </c>
      <c r="AX11" s="7">
        <v>0.0</v>
      </c>
      <c r="AY11" s="6">
        <v>0.0</v>
      </c>
      <c r="AZ11" s="6">
        <v>0.0</v>
      </c>
      <c r="BA11" s="6">
        <v>0.0</v>
      </c>
      <c r="BB11" s="6">
        <v>0.0</v>
      </c>
      <c r="BC11" s="6">
        <v>0.0</v>
      </c>
      <c r="BD11" s="6">
        <v>0.0</v>
      </c>
      <c r="BE11" s="6">
        <v>0.0</v>
      </c>
      <c r="BF11" s="6">
        <v>0.0</v>
      </c>
      <c r="BG11" s="6">
        <v>0.0</v>
      </c>
      <c r="BH11" s="6">
        <v>1.0</v>
      </c>
      <c r="BI11" s="7">
        <v>0.0</v>
      </c>
      <c r="BJ11" s="6">
        <v>0.0</v>
      </c>
      <c r="BK11" s="6">
        <v>0.0</v>
      </c>
      <c r="BL11" s="6">
        <v>0.0</v>
      </c>
      <c r="BM11" s="6">
        <v>0.0</v>
      </c>
      <c r="BN11" s="6">
        <v>0.0</v>
      </c>
      <c r="BO11" s="7">
        <v>0.0</v>
      </c>
      <c r="BP11" s="6">
        <v>1.0</v>
      </c>
      <c r="BQ11" s="6">
        <v>0.0</v>
      </c>
      <c r="BR11" s="6">
        <v>1.0</v>
      </c>
      <c r="BS11" s="6">
        <v>1.0</v>
      </c>
      <c r="BT11" s="6">
        <v>0.0</v>
      </c>
      <c r="BU11" s="6">
        <v>0.0</v>
      </c>
      <c r="BV11" s="7">
        <v>0.0</v>
      </c>
      <c r="BW11" s="6">
        <v>0.0</v>
      </c>
      <c r="BX11" s="6">
        <v>1.0</v>
      </c>
      <c r="BY11" s="6">
        <v>0.0</v>
      </c>
      <c r="BZ11" s="6">
        <v>0.0</v>
      </c>
      <c r="CA11" s="6">
        <v>0.0</v>
      </c>
      <c r="CB11" s="6">
        <v>1.0</v>
      </c>
      <c r="CC11" s="6">
        <v>1.0</v>
      </c>
      <c r="CD11" s="6">
        <v>1.0</v>
      </c>
      <c r="CE11" s="6">
        <v>0.0</v>
      </c>
      <c r="CF11" s="6">
        <v>0.0</v>
      </c>
      <c r="CG11" s="6">
        <v>0.0</v>
      </c>
      <c r="CH11" s="6">
        <v>0.0</v>
      </c>
      <c r="CI11" s="6">
        <v>0.0</v>
      </c>
      <c r="CJ11" s="6">
        <v>0.0</v>
      </c>
      <c r="CK11" s="6">
        <v>0.0</v>
      </c>
      <c r="CL11" s="6">
        <v>0.0</v>
      </c>
      <c r="CM11" s="7">
        <v>0.0</v>
      </c>
      <c r="CN11" s="6">
        <v>0.0</v>
      </c>
      <c r="CO11" s="6">
        <v>0.0</v>
      </c>
      <c r="CP11" s="6">
        <v>0.0</v>
      </c>
      <c r="CQ11" s="6">
        <v>0.0</v>
      </c>
      <c r="CR11" s="6">
        <v>0.0</v>
      </c>
      <c r="CS11" s="6">
        <v>1.0</v>
      </c>
      <c r="CT11" s="6">
        <v>0.0</v>
      </c>
      <c r="CU11" s="6">
        <v>0.0</v>
      </c>
      <c r="CV11" s="6">
        <v>0.0</v>
      </c>
      <c r="CW11" s="6">
        <v>0.0</v>
      </c>
      <c r="CX11" s="6">
        <v>0.0</v>
      </c>
      <c r="CY11" s="6">
        <v>0.0</v>
      </c>
      <c r="CZ11" s="6">
        <v>0.0</v>
      </c>
      <c r="DA11" s="6">
        <v>0.0</v>
      </c>
      <c r="DB11" s="7">
        <v>0.0</v>
      </c>
      <c r="DC11" s="6">
        <v>0.0</v>
      </c>
      <c r="DD11" s="6">
        <v>0.0</v>
      </c>
      <c r="DE11" s="6">
        <v>0.0</v>
      </c>
      <c r="DF11" s="6">
        <v>0.0</v>
      </c>
      <c r="DG11" s="6">
        <v>0.0</v>
      </c>
      <c r="DH11" s="6">
        <v>0.0</v>
      </c>
      <c r="DI11" s="6">
        <v>0.0</v>
      </c>
      <c r="DJ11" s="6">
        <v>0.0</v>
      </c>
      <c r="DK11" s="6">
        <v>0.0</v>
      </c>
      <c r="DL11" s="6">
        <v>0.0</v>
      </c>
      <c r="DM11" s="6">
        <v>0.0</v>
      </c>
      <c r="DN11" s="6">
        <v>0.0</v>
      </c>
      <c r="DO11" s="6">
        <v>0.0</v>
      </c>
      <c r="DP11" s="6">
        <v>0.0</v>
      </c>
      <c r="DQ11" s="7">
        <v>0.0</v>
      </c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</row>
    <row r="12">
      <c r="B12" s="5" t="s">
        <v>11</v>
      </c>
      <c r="C12" s="6">
        <v>0.0</v>
      </c>
      <c r="D12" s="6">
        <v>0.0</v>
      </c>
      <c r="E12" s="6">
        <v>0.0</v>
      </c>
      <c r="F12" s="6">
        <v>0.0</v>
      </c>
      <c r="G12" s="6">
        <v>1.0</v>
      </c>
      <c r="H12" s="6">
        <v>0.0</v>
      </c>
      <c r="I12" s="7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7">
        <v>0.0</v>
      </c>
      <c r="R12" s="6">
        <v>1.0</v>
      </c>
      <c r="S12" s="6">
        <v>0.0</v>
      </c>
      <c r="T12" s="6">
        <v>0.0</v>
      </c>
      <c r="U12" s="6">
        <v>1.0</v>
      </c>
      <c r="V12" s="6">
        <v>0.0</v>
      </c>
      <c r="W12" s="6">
        <v>0.0</v>
      </c>
      <c r="X12" s="6">
        <v>0.0</v>
      </c>
      <c r="Y12" s="6">
        <v>0.0</v>
      </c>
      <c r="Z12" s="7">
        <v>1.0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  <c r="AF12" s="6">
        <v>0.0</v>
      </c>
      <c r="AG12" s="6">
        <v>0.0</v>
      </c>
      <c r="AH12" s="7">
        <v>0.0</v>
      </c>
      <c r="AI12" s="6">
        <v>0.0</v>
      </c>
      <c r="AJ12" s="6">
        <v>0.0</v>
      </c>
      <c r="AK12" s="6">
        <v>1.0</v>
      </c>
      <c r="AL12" s="6">
        <v>1.0</v>
      </c>
      <c r="AM12" s="6">
        <v>1.0</v>
      </c>
      <c r="AN12" s="6">
        <v>0.0</v>
      </c>
      <c r="AO12" s="6">
        <v>0.0</v>
      </c>
      <c r="AP12" s="7">
        <v>0.0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0.0</v>
      </c>
      <c r="AW12" s="6">
        <v>0.0</v>
      </c>
      <c r="AX12" s="7">
        <v>0.0</v>
      </c>
      <c r="AY12" s="6">
        <v>0.0</v>
      </c>
      <c r="AZ12" s="6">
        <v>0.0</v>
      </c>
      <c r="BA12" s="6">
        <v>0.0</v>
      </c>
      <c r="BB12" s="6">
        <v>0.0</v>
      </c>
      <c r="BC12" s="6">
        <v>0.0</v>
      </c>
      <c r="BD12" s="6">
        <v>0.0</v>
      </c>
      <c r="BE12" s="6">
        <v>0.0</v>
      </c>
      <c r="BF12" s="6">
        <v>0.0</v>
      </c>
      <c r="BG12" s="6">
        <v>0.0</v>
      </c>
      <c r="BH12" s="6">
        <v>0.0</v>
      </c>
      <c r="BI12" s="7">
        <v>0.0</v>
      </c>
      <c r="BJ12" s="6">
        <v>0.0</v>
      </c>
      <c r="BK12" s="6">
        <v>0.0</v>
      </c>
      <c r="BL12" s="6">
        <v>0.0</v>
      </c>
      <c r="BM12" s="6">
        <v>0.0</v>
      </c>
      <c r="BN12" s="6">
        <v>0.0</v>
      </c>
      <c r="BO12" s="7">
        <v>0.0</v>
      </c>
      <c r="BP12" s="6">
        <v>0.0</v>
      </c>
      <c r="BQ12" s="6">
        <v>0.0</v>
      </c>
      <c r="BR12" s="6">
        <v>0.0</v>
      </c>
      <c r="BS12" s="6">
        <v>0.0</v>
      </c>
      <c r="BT12" s="6">
        <v>0.0</v>
      </c>
      <c r="BU12" s="6">
        <v>0.0</v>
      </c>
      <c r="BV12" s="7">
        <v>1.0</v>
      </c>
      <c r="BW12" s="6">
        <v>0.0</v>
      </c>
      <c r="BX12" s="6">
        <v>0.0</v>
      </c>
      <c r="BY12" s="6">
        <v>0.0</v>
      </c>
      <c r="BZ12" s="6">
        <v>0.0</v>
      </c>
      <c r="CA12" s="6">
        <v>0.0</v>
      </c>
      <c r="CB12" s="6">
        <v>1.0</v>
      </c>
      <c r="CC12" s="6">
        <v>0.0</v>
      </c>
      <c r="CD12" s="6">
        <v>0.0</v>
      </c>
      <c r="CE12" s="6">
        <v>0.0</v>
      </c>
      <c r="CF12" s="6">
        <v>0.0</v>
      </c>
      <c r="CG12" s="6">
        <v>0.0</v>
      </c>
      <c r="CH12" s="6">
        <v>0.0</v>
      </c>
      <c r="CI12" s="6">
        <v>1.0</v>
      </c>
      <c r="CJ12" s="6">
        <v>0.0</v>
      </c>
      <c r="CK12" s="6">
        <v>0.0</v>
      </c>
      <c r="CL12" s="6">
        <v>0.0</v>
      </c>
      <c r="CM12" s="7">
        <v>0.0</v>
      </c>
      <c r="CN12" s="6">
        <v>0.0</v>
      </c>
      <c r="CO12" s="6">
        <v>0.0</v>
      </c>
      <c r="CP12" s="6">
        <v>0.0</v>
      </c>
      <c r="CQ12" s="6">
        <v>0.0</v>
      </c>
      <c r="CR12" s="6">
        <v>0.0</v>
      </c>
      <c r="CS12" s="6">
        <v>0.0</v>
      </c>
      <c r="CT12" s="6">
        <v>1.0</v>
      </c>
      <c r="CU12" s="6">
        <v>0.0</v>
      </c>
      <c r="CV12" s="6">
        <v>0.0</v>
      </c>
      <c r="CW12" s="6">
        <v>0.0</v>
      </c>
      <c r="CX12" s="6">
        <v>0.0</v>
      </c>
      <c r="CY12" s="6">
        <v>0.0</v>
      </c>
      <c r="CZ12" s="6">
        <v>0.0</v>
      </c>
      <c r="DA12" s="6">
        <v>0.0</v>
      </c>
      <c r="DB12" s="7">
        <v>0.0</v>
      </c>
      <c r="DC12" s="6">
        <v>0.0</v>
      </c>
      <c r="DD12" s="6">
        <v>0.0</v>
      </c>
      <c r="DE12" s="6">
        <v>0.0</v>
      </c>
      <c r="DF12" s="6">
        <v>0.0</v>
      </c>
      <c r="DG12" s="6">
        <v>0.0</v>
      </c>
      <c r="DH12" s="6">
        <v>0.0</v>
      </c>
      <c r="DI12" s="6">
        <v>0.0</v>
      </c>
      <c r="DJ12" s="6">
        <v>0.0</v>
      </c>
      <c r="DK12" s="6">
        <v>0.0</v>
      </c>
      <c r="DL12" s="6">
        <v>0.0</v>
      </c>
      <c r="DM12" s="6">
        <v>0.0</v>
      </c>
      <c r="DN12" s="6">
        <v>0.0</v>
      </c>
      <c r="DO12" s="6">
        <v>1.0</v>
      </c>
      <c r="DP12" s="6">
        <v>0.0</v>
      </c>
      <c r="DQ12" s="7">
        <v>0.0</v>
      </c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</row>
    <row r="13">
      <c r="B13" s="5" t="s">
        <v>12</v>
      </c>
      <c r="C13" s="6">
        <v>1.0</v>
      </c>
      <c r="D13" s="6">
        <v>0.0</v>
      </c>
      <c r="E13" s="6">
        <v>0.0</v>
      </c>
      <c r="F13" s="6">
        <v>1.0</v>
      </c>
      <c r="G13" s="6">
        <v>0.0</v>
      </c>
      <c r="H13" s="6">
        <v>0.0</v>
      </c>
      <c r="I13" s="7">
        <v>0.0</v>
      </c>
      <c r="J13" s="6">
        <v>0.0</v>
      </c>
      <c r="K13" s="6">
        <v>0.0</v>
      </c>
      <c r="L13" s="6">
        <v>1.0</v>
      </c>
      <c r="M13" s="6">
        <v>0.0</v>
      </c>
      <c r="N13" s="6">
        <v>1.0</v>
      </c>
      <c r="O13" s="6">
        <v>0.0</v>
      </c>
      <c r="P13" s="6">
        <v>0.0</v>
      </c>
      <c r="Q13" s="7">
        <v>0.0</v>
      </c>
      <c r="R13" s="6">
        <v>1.0</v>
      </c>
      <c r="S13" s="6">
        <v>1.0</v>
      </c>
      <c r="T13" s="6">
        <v>0.0</v>
      </c>
      <c r="U13" s="6">
        <v>0.0</v>
      </c>
      <c r="V13" s="6">
        <v>0.0</v>
      </c>
      <c r="W13" s="6">
        <v>0.0</v>
      </c>
      <c r="X13" s="6">
        <v>0.0</v>
      </c>
      <c r="Y13" s="6">
        <v>0.0</v>
      </c>
      <c r="Z13" s="7">
        <v>0.0</v>
      </c>
      <c r="AA13" s="6">
        <v>0.0</v>
      </c>
      <c r="AB13" s="6">
        <v>0.0</v>
      </c>
      <c r="AC13" s="6">
        <v>1.0</v>
      </c>
      <c r="AD13" s="6">
        <v>0.0</v>
      </c>
      <c r="AE13" s="6">
        <v>1.0</v>
      </c>
      <c r="AF13" s="6">
        <v>1.0</v>
      </c>
      <c r="AG13" s="6">
        <v>1.0</v>
      </c>
      <c r="AH13" s="7">
        <v>0.0</v>
      </c>
      <c r="AI13" s="6">
        <v>0.0</v>
      </c>
      <c r="AJ13" s="6">
        <v>0.0</v>
      </c>
      <c r="AK13" s="6">
        <v>1.0</v>
      </c>
      <c r="AL13" s="6">
        <v>1.0</v>
      </c>
      <c r="AM13" s="6">
        <v>0.0</v>
      </c>
      <c r="AN13" s="6">
        <v>0.0</v>
      </c>
      <c r="AO13" s="6">
        <v>0.0</v>
      </c>
      <c r="AP13" s="7">
        <v>1.0</v>
      </c>
      <c r="AQ13" s="6">
        <v>0.0</v>
      </c>
      <c r="AR13" s="6">
        <v>0.0</v>
      </c>
      <c r="AS13" s="6">
        <v>0.0</v>
      </c>
      <c r="AT13" s="6">
        <v>0.0</v>
      </c>
      <c r="AU13" s="6">
        <v>0.0</v>
      </c>
      <c r="AV13" s="6">
        <v>0.0</v>
      </c>
      <c r="AW13" s="6">
        <v>0.0</v>
      </c>
      <c r="AX13" s="7">
        <v>0.0</v>
      </c>
      <c r="AY13" s="6">
        <v>0.0</v>
      </c>
      <c r="AZ13" s="6">
        <v>1.0</v>
      </c>
      <c r="BA13" s="6">
        <v>0.0</v>
      </c>
      <c r="BB13" s="6">
        <v>1.0</v>
      </c>
      <c r="BC13" s="6">
        <v>1.0</v>
      </c>
      <c r="BD13" s="6">
        <v>1.0</v>
      </c>
      <c r="BE13" s="6">
        <v>0.0</v>
      </c>
      <c r="BF13" s="6">
        <v>0.0</v>
      </c>
      <c r="BG13" s="6">
        <v>0.0</v>
      </c>
      <c r="BH13" s="6">
        <v>1.0</v>
      </c>
      <c r="BI13" s="7">
        <v>0.0</v>
      </c>
      <c r="BJ13" s="6">
        <v>0.0</v>
      </c>
      <c r="BK13" s="6">
        <v>0.0</v>
      </c>
      <c r="BL13" s="6">
        <v>1.0</v>
      </c>
      <c r="BM13" s="6">
        <v>0.0</v>
      </c>
      <c r="BN13" s="6">
        <v>0.0</v>
      </c>
      <c r="BO13" s="7">
        <v>0.0</v>
      </c>
      <c r="BP13" s="6">
        <v>1.0</v>
      </c>
      <c r="BQ13" s="6">
        <v>0.0</v>
      </c>
      <c r="BR13" s="6">
        <v>0.0</v>
      </c>
      <c r="BS13" s="6">
        <v>0.0</v>
      </c>
      <c r="BT13" s="6">
        <v>0.0</v>
      </c>
      <c r="BU13" s="6">
        <v>0.0</v>
      </c>
      <c r="BV13" s="7">
        <v>0.0</v>
      </c>
      <c r="BW13" s="6">
        <v>0.0</v>
      </c>
      <c r="BX13" s="6">
        <v>0.0</v>
      </c>
      <c r="BY13" s="6">
        <v>0.0</v>
      </c>
      <c r="BZ13" s="6">
        <v>0.0</v>
      </c>
      <c r="CA13" s="6">
        <v>0.0</v>
      </c>
      <c r="CB13" s="6">
        <v>1.0</v>
      </c>
      <c r="CC13" s="6">
        <v>1.0</v>
      </c>
      <c r="CD13" s="6">
        <v>1.0</v>
      </c>
      <c r="CE13" s="6">
        <v>0.0</v>
      </c>
      <c r="CF13" s="6">
        <v>0.0</v>
      </c>
      <c r="CG13" s="6">
        <v>0.0</v>
      </c>
      <c r="CH13" s="6">
        <v>0.0</v>
      </c>
      <c r="CI13" s="6">
        <v>0.0</v>
      </c>
      <c r="CJ13" s="6">
        <v>0.0</v>
      </c>
      <c r="CK13" s="6">
        <v>1.0</v>
      </c>
      <c r="CL13" s="6">
        <v>0.0</v>
      </c>
      <c r="CM13" s="7">
        <v>0.0</v>
      </c>
      <c r="CN13" s="6">
        <v>0.0</v>
      </c>
      <c r="CO13" s="6">
        <v>0.0</v>
      </c>
      <c r="CP13" s="6">
        <v>0.0</v>
      </c>
      <c r="CQ13" s="6">
        <v>0.0</v>
      </c>
      <c r="CR13" s="6">
        <v>0.0</v>
      </c>
      <c r="CS13" s="6">
        <v>0.0</v>
      </c>
      <c r="CT13" s="6">
        <v>1.0</v>
      </c>
      <c r="CU13" s="6">
        <v>0.0</v>
      </c>
      <c r="CV13" s="6">
        <v>1.0</v>
      </c>
      <c r="CW13" s="6">
        <v>0.0</v>
      </c>
      <c r="CX13" s="6">
        <v>0.0</v>
      </c>
      <c r="CY13" s="6">
        <v>0.0</v>
      </c>
      <c r="CZ13" s="6">
        <v>0.0</v>
      </c>
      <c r="DA13" s="6">
        <v>0.0</v>
      </c>
      <c r="DB13" s="7">
        <v>0.0</v>
      </c>
      <c r="DC13" s="6">
        <v>0.0</v>
      </c>
      <c r="DD13" s="6">
        <v>0.0</v>
      </c>
      <c r="DE13" s="6">
        <v>0.0</v>
      </c>
      <c r="DF13" s="6">
        <v>0.0</v>
      </c>
      <c r="DG13" s="6">
        <v>0.0</v>
      </c>
      <c r="DH13" s="6">
        <v>0.0</v>
      </c>
      <c r="DI13" s="6">
        <v>0.0</v>
      </c>
      <c r="DJ13" s="6">
        <v>0.0</v>
      </c>
      <c r="DK13" s="6">
        <v>0.0</v>
      </c>
      <c r="DL13" s="6">
        <v>0.0</v>
      </c>
      <c r="DM13" s="6">
        <v>0.0</v>
      </c>
      <c r="DN13" s="6">
        <v>0.0</v>
      </c>
      <c r="DO13" s="6">
        <v>0.0</v>
      </c>
      <c r="DP13" s="6">
        <v>0.0</v>
      </c>
      <c r="DQ13" s="7">
        <v>0.0</v>
      </c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</row>
    <row r="14">
      <c r="B14" s="5" t="s">
        <v>13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6">
        <v>0.0</v>
      </c>
      <c r="K14" s="6">
        <v>1.0</v>
      </c>
      <c r="L14" s="6">
        <v>0.0</v>
      </c>
      <c r="M14" s="6">
        <v>1.0</v>
      </c>
      <c r="N14" s="6">
        <v>0.0</v>
      </c>
      <c r="O14" s="6">
        <v>0.0</v>
      </c>
      <c r="P14" s="6">
        <v>0.0</v>
      </c>
      <c r="Q14" s="7">
        <v>0.0</v>
      </c>
      <c r="R14" s="6">
        <v>0.0</v>
      </c>
      <c r="S14" s="6">
        <v>1.0</v>
      </c>
      <c r="T14" s="6">
        <v>0.0</v>
      </c>
      <c r="U14" s="6">
        <v>1.0</v>
      </c>
      <c r="V14" s="6">
        <v>1.0</v>
      </c>
      <c r="W14" s="6">
        <v>0.0</v>
      </c>
      <c r="X14" s="6">
        <v>0.0</v>
      </c>
      <c r="Y14" s="6">
        <v>1.0</v>
      </c>
      <c r="Z14" s="7">
        <v>1.0</v>
      </c>
      <c r="AA14" s="6">
        <v>1.0</v>
      </c>
      <c r="AB14" s="6">
        <v>0.0</v>
      </c>
      <c r="AC14" s="6">
        <v>0.0</v>
      </c>
      <c r="AD14" s="6">
        <v>0.0</v>
      </c>
      <c r="AE14" s="6">
        <v>0.0</v>
      </c>
      <c r="AF14" s="6">
        <v>0.0</v>
      </c>
      <c r="AG14" s="6">
        <v>0.0</v>
      </c>
      <c r="AH14" s="7">
        <v>0.0</v>
      </c>
      <c r="AI14" s="6">
        <v>0.0</v>
      </c>
      <c r="AJ14" s="6">
        <v>0.0</v>
      </c>
      <c r="AK14" s="6">
        <v>1.0</v>
      </c>
      <c r="AL14" s="6">
        <v>1.0</v>
      </c>
      <c r="AM14" s="6">
        <v>0.0</v>
      </c>
      <c r="AN14" s="6">
        <v>0.0</v>
      </c>
      <c r="AO14" s="6">
        <v>0.0</v>
      </c>
      <c r="AP14" s="7">
        <v>1.0</v>
      </c>
      <c r="AQ14" s="6">
        <v>1.0</v>
      </c>
      <c r="AR14" s="6">
        <v>0.0</v>
      </c>
      <c r="AS14" s="6">
        <v>0.0</v>
      </c>
      <c r="AT14" s="6">
        <v>0.0</v>
      </c>
      <c r="AU14" s="6">
        <v>1.0</v>
      </c>
      <c r="AV14" s="6">
        <v>0.0</v>
      </c>
      <c r="AW14" s="6">
        <v>0.0</v>
      </c>
      <c r="AX14" s="7">
        <v>0.0</v>
      </c>
      <c r="AY14" s="6">
        <v>0.0</v>
      </c>
      <c r="AZ14" s="6">
        <v>0.0</v>
      </c>
      <c r="BA14" s="6">
        <v>0.0</v>
      </c>
      <c r="BB14" s="6">
        <v>0.0</v>
      </c>
      <c r="BC14" s="6">
        <v>0.0</v>
      </c>
      <c r="BD14" s="6">
        <v>0.0</v>
      </c>
      <c r="BE14" s="6">
        <v>0.0</v>
      </c>
      <c r="BF14" s="6">
        <v>0.0</v>
      </c>
      <c r="BG14" s="6">
        <v>0.0</v>
      </c>
      <c r="BH14" s="6">
        <v>0.0</v>
      </c>
      <c r="BI14" s="7">
        <v>0.0</v>
      </c>
      <c r="BJ14" s="6">
        <v>0.0</v>
      </c>
      <c r="BK14" s="6">
        <v>0.0</v>
      </c>
      <c r="BL14" s="6">
        <v>0.0</v>
      </c>
      <c r="BM14" s="6">
        <v>0.0</v>
      </c>
      <c r="BN14" s="6">
        <v>0.0</v>
      </c>
      <c r="BO14" s="7">
        <v>0.0</v>
      </c>
      <c r="BP14" s="6">
        <v>1.0</v>
      </c>
      <c r="BQ14" s="6">
        <v>1.0</v>
      </c>
      <c r="BR14" s="6">
        <v>1.0</v>
      </c>
      <c r="BS14" s="6">
        <v>1.0</v>
      </c>
      <c r="BT14" s="6">
        <v>1.0</v>
      </c>
      <c r="BU14" s="6">
        <v>0.0</v>
      </c>
      <c r="BV14" s="7">
        <v>1.0</v>
      </c>
      <c r="BW14" s="6">
        <v>0.0</v>
      </c>
      <c r="BX14" s="6">
        <v>1.0</v>
      </c>
      <c r="BY14" s="6">
        <v>0.0</v>
      </c>
      <c r="BZ14" s="6">
        <v>1.0</v>
      </c>
      <c r="CA14" s="6">
        <v>0.0</v>
      </c>
      <c r="CB14" s="6">
        <v>1.0</v>
      </c>
      <c r="CC14" s="6">
        <v>1.0</v>
      </c>
      <c r="CD14" s="6">
        <v>1.0</v>
      </c>
      <c r="CE14" s="6">
        <v>0.0</v>
      </c>
      <c r="CF14" s="6">
        <v>0.0</v>
      </c>
      <c r="CG14" s="6">
        <v>0.0</v>
      </c>
      <c r="CH14" s="6">
        <v>0.0</v>
      </c>
      <c r="CI14" s="6">
        <v>0.0</v>
      </c>
      <c r="CJ14" s="6">
        <v>1.0</v>
      </c>
      <c r="CK14" s="6">
        <v>0.0</v>
      </c>
      <c r="CL14" s="6">
        <v>0.0</v>
      </c>
      <c r="CM14" s="7">
        <v>0.0</v>
      </c>
      <c r="CN14" s="6">
        <v>1.0</v>
      </c>
      <c r="CO14" s="6">
        <v>0.0</v>
      </c>
      <c r="CP14" s="6">
        <v>0.0</v>
      </c>
      <c r="CQ14" s="6">
        <v>0.0</v>
      </c>
      <c r="CR14" s="6">
        <v>0.0</v>
      </c>
      <c r="CS14" s="6">
        <v>0.0</v>
      </c>
      <c r="CT14" s="6">
        <v>1.0</v>
      </c>
      <c r="CU14" s="6">
        <v>0.0</v>
      </c>
      <c r="CV14" s="6">
        <v>0.0</v>
      </c>
      <c r="CW14" s="6">
        <v>1.0</v>
      </c>
      <c r="CX14" s="6">
        <v>0.0</v>
      </c>
      <c r="CY14" s="6">
        <v>1.0</v>
      </c>
      <c r="CZ14" s="6">
        <v>0.0</v>
      </c>
      <c r="DA14" s="6">
        <v>0.0</v>
      </c>
      <c r="DB14" s="7">
        <v>0.0</v>
      </c>
      <c r="DC14" s="6">
        <v>1.0</v>
      </c>
      <c r="DD14" s="6">
        <v>1.0</v>
      </c>
      <c r="DE14" s="6">
        <v>0.0</v>
      </c>
      <c r="DF14" s="6">
        <v>0.0</v>
      </c>
      <c r="DG14" s="6">
        <v>0.0</v>
      </c>
      <c r="DH14" s="6">
        <v>0.0</v>
      </c>
      <c r="DI14" s="6">
        <v>0.0</v>
      </c>
      <c r="DJ14" s="6">
        <v>0.0</v>
      </c>
      <c r="DK14" s="6">
        <v>0.0</v>
      </c>
      <c r="DL14" s="6">
        <v>0.0</v>
      </c>
      <c r="DM14" s="6">
        <v>0.0</v>
      </c>
      <c r="DN14" s="6">
        <v>0.0</v>
      </c>
      <c r="DO14" s="6">
        <v>0.0</v>
      </c>
      <c r="DP14" s="6">
        <v>1.0</v>
      </c>
      <c r="DQ14" s="7">
        <v>1.0</v>
      </c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</row>
    <row r="15">
      <c r="B15" s="5" t="s">
        <v>14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1.0</v>
      </c>
      <c r="O15" s="6">
        <v>0.0</v>
      </c>
      <c r="P15" s="6">
        <v>0.0</v>
      </c>
      <c r="Q15" s="7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0.0</v>
      </c>
      <c r="W15" s="6">
        <v>0.0</v>
      </c>
      <c r="X15" s="6">
        <v>0.0</v>
      </c>
      <c r="Y15" s="6">
        <v>0.0</v>
      </c>
      <c r="Z15" s="7">
        <v>0.0</v>
      </c>
      <c r="AA15" s="6">
        <v>0.0</v>
      </c>
      <c r="AB15" s="6">
        <v>0.0</v>
      </c>
      <c r="AC15" s="6">
        <v>0.0</v>
      </c>
      <c r="AD15" s="6">
        <v>0.0</v>
      </c>
      <c r="AE15" s="6">
        <v>1.0</v>
      </c>
      <c r="AF15" s="6">
        <v>0.0</v>
      </c>
      <c r="AG15" s="6">
        <v>0.0</v>
      </c>
      <c r="AH15" s="7">
        <v>0.0</v>
      </c>
      <c r="AI15" s="6">
        <v>0.0</v>
      </c>
      <c r="AJ15" s="6">
        <v>0.0</v>
      </c>
      <c r="AK15" s="6">
        <v>0.0</v>
      </c>
      <c r="AL15" s="6">
        <v>0.0</v>
      </c>
      <c r="AM15" s="6">
        <v>0.0</v>
      </c>
      <c r="AN15" s="6">
        <v>0.0</v>
      </c>
      <c r="AO15" s="6">
        <v>0.0</v>
      </c>
      <c r="AP15" s="7">
        <v>0.0</v>
      </c>
      <c r="AQ15" s="6">
        <v>0.0</v>
      </c>
      <c r="AR15" s="6">
        <v>0.0</v>
      </c>
      <c r="AS15" s="6">
        <v>0.0</v>
      </c>
      <c r="AT15" s="6">
        <v>0.0</v>
      </c>
      <c r="AU15" s="6">
        <v>0.0</v>
      </c>
      <c r="AV15" s="6">
        <v>0.0</v>
      </c>
      <c r="AW15" s="6">
        <v>1.0</v>
      </c>
      <c r="AX15" s="7">
        <v>1.0</v>
      </c>
      <c r="AY15" s="6">
        <v>0.0</v>
      </c>
      <c r="AZ15" s="6">
        <v>0.0</v>
      </c>
      <c r="BA15" s="6">
        <v>0.0</v>
      </c>
      <c r="BB15" s="6">
        <v>1.0</v>
      </c>
      <c r="BC15" s="6">
        <v>0.0</v>
      </c>
      <c r="BD15" s="6">
        <v>0.0</v>
      </c>
      <c r="BE15" s="6">
        <v>0.0</v>
      </c>
      <c r="BF15" s="6">
        <v>1.0</v>
      </c>
      <c r="BG15" s="6">
        <v>0.0</v>
      </c>
      <c r="BH15" s="6">
        <v>0.0</v>
      </c>
      <c r="BI15" s="7">
        <v>0.0</v>
      </c>
      <c r="BJ15" s="6">
        <v>0.0</v>
      </c>
      <c r="BK15" s="6">
        <v>0.0</v>
      </c>
      <c r="BL15" s="6">
        <v>0.0</v>
      </c>
      <c r="BM15" s="6">
        <v>0.0</v>
      </c>
      <c r="BN15" s="6">
        <v>0.0</v>
      </c>
      <c r="BO15" s="7">
        <v>0.0</v>
      </c>
      <c r="BP15" s="6">
        <v>1.0</v>
      </c>
      <c r="BQ15" s="6">
        <v>1.0</v>
      </c>
      <c r="BR15" s="6">
        <v>1.0</v>
      </c>
      <c r="BS15" s="6">
        <v>0.0</v>
      </c>
      <c r="BT15" s="6">
        <v>1.0</v>
      </c>
      <c r="BU15" s="6">
        <v>0.0</v>
      </c>
      <c r="BV15" s="7">
        <v>0.0</v>
      </c>
      <c r="BW15" s="6">
        <v>0.0</v>
      </c>
      <c r="BX15" s="6">
        <v>0.0</v>
      </c>
      <c r="BY15" s="6">
        <v>0.0</v>
      </c>
      <c r="BZ15" s="6">
        <v>0.0</v>
      </c>
      <c r="CA15" s="6">
        <v>1.0</v>
      </c>
      <c r="CB15" s="6">
        <v>1.0</v>
      </c>
      <c r="CC15" s="6">
        <v>0.0</v>
      </c>
      <c r="CD15" s="6">
        <v>1.0</v>
      </c>
      <c r="CE15" s="6">
        <v>0.0</v>
      </c>
      <c r="CF15" s="6">
        <v>0.0</v>
      </c>
      <c r="CG15" s="6">
        <v>1.0</v>
      </c>
      <c r="CH15" s="6">
        <v>0.0</v>
      </c>
      <c r="CI15" s="6">
        <v>0.0</v>
      </c>
      <c r="CJ15" s="6">
        <v>0.0</v>
      </c>
      <c r="CK15" s="6">
        <v>0.0</v>
      </c>
      <c r="CL15" s="6">
        <v>0.0</v>
      </c>
      <c r="CM15" s="7">
        <v>0.0</v>
      </c>
      <c r="CN15" s="6">
        <v>1.0</v>
      </c>
      <c r="CO15" s="6">
        <v>0.0</v>
      </c>
      <c r="CP15" s="6">
        <v>0.0</v>
      </c>
      <c r="CQ15" s="6">
        <v>0.0</v>
      </c>
      <c r="CR15" s="6">
        <v>0.0</v>
      </c>
      <c r="CS15" s="6">
        <v>0.0</v>
      </c>
      <c r="CT15" s="6">
        <v>1.0</v>
      </c>
      <c r="CU15" s="6">
        <v>0.0</v>
      </c>
      <c r="CV15" s="6">
        <v>0.0</v>
      </c>
      <c r="CW15" s="6">
        <v>0.0</v>
      </c>
      <c r="CX15" s="6">
        <v>0.0</v>
      </c>
      <c r="CY15" s="6">
        <v>0.0</v>
      </c>
      <c r="CZ15" s="6">
        <v>0.0</v>
      </c>
      <c r="DA15" s="6">
        <v>0.0</v>
      </c>
      <c r="DB15" s="7">
        <v>0.0</v>
      </c>
      <c r="DC15" s="6">
        <v>1.0</v>
      </c>
      <c r="DD15" s="6">
        <v>1.0</v>
      </c>
      <c r="DE15" s="6">
        <v>0.0</v>
      </c>
      <c r="DF15" s="6">
        <v>0.0</v>
      </c>
      <c r="DG15" s="6">
        <v>0.0</v>
      </c>
      <c r="DH15" s="6">
        <v>0.0</v>
      </c>
      <c r="DI15" s="6">
        <v>1.0</v>
      </c>
      <c r="DJ15" s="6">
        <v>0.0</v>
      </c>
      <c r="DK15" s="6">
        <v>0.0</v>
      </c>
      <c r="DL15" s="6">
        <v>0.0</v>
      </c>
      <c r="DM15" s="6">
        <v>0.0</v>
      </c>
      <c r="DN15" s="6">
        <v>0.0</v>
      </c>
      <c r="DO15" s="6">
        <v>0.0</v>
      </c>
      <c r="DP15" s="6">
        <v>0.0</v>
      </c>
      <c r="DQ15" s="7">
        <v>0.0</v>
      </c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</row>
    <row r="16">
      <c r="B16" s="5" t="s">
        <v>15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7">
        <v>0.0</v>
      </c>
      <c r="R16" s="6">
        <v>0.0</v>
      </c>
      <c r="S16" s="6">
        <v>1.0</v>
      </c>
      <c r="T16" s="6">
        <v>1.0</v>
      </c>
      <c r="U16" s="6">
        <v>0.0</v>
      </c>
      <c r="V16" s="6">
        <v>1.0</v>
      </c>
      <c r="W16" s="6">
        <v>1.0</v>
      </c>
      <c r="X16" s="6">
        <v>0.0</v>
      </c>
      <c r="Y16" s="6">
        <v>0.0</v>
      </c>
      <c r="Z16" s="7">
        <v>1.0</v>
      </c>
      <c r="AA16" s="6">
        <v>0.0</v>
      </c>
      <c r="AB16" s="6">
        <v>1.0</v>
      </c>
      <c r="AC16" s="6">
        <v>0.0</v>
      </c>
      <c r="AD16" s="6">
        <v>1.0</v>
      </c>
      <c r="AE16" s="6">
        <v>0.0</v>
      </c>
      <c r="AF16" s="6">
        <v>0.0</v>
      </c>
      <c r="AG16" s="6">
        <v>0.0</v>
      </c>
      <c r="AH16" s="7">
        <v>0.0</v>
      </c>
      <c r="AI16" s="6">
        <v>0.0</v>
      </c>
      <c r="AJ16" s="6">
        <v>0.0</v>
      </c>
      <c r="AK16" s="6">
        <v>1.0</v>
      </c>
      <c r="AL16" s="6">
        <v>0.0</v>
      </c>
      <c r="AM16" s="6">
        <v>0.0</v>
      </c>
      <c r="AN16" s="6">
        <v>0.0</v>
      </c>
      <c r="AO16" s="6">
        <v>0.0</v>
      </c>
      <c r="AP16" s="7">
        <v>1.0</v>
      </c>
      <c r="AQ16" s="6">
        <v>0.0</v>
      </c>
      <c r="AR16" s="6">
        <v>0.0</v>
      </c>
      <c r="AS16" s="6">
        <v>0.0</v>
      </c>
      <c r="AT16" s="6">
        <v>0.0</v>
      </c>
      <c r="AU16" s="6">
        <v>1.0</v>
      </c>
      <c r="AV16" s="6">
        <v>0.0</v>
      </c>
      <c r="AW16" s="6">
        <v>1.0</v>
      </c>
      <c r="AX16" s="7">
        <v>0.0</v>
      </c>
      <c r="AY16" s="6">
        <v>0.0</v>
      </c>
      <c r="AZ16" s="6">
        <v>0.0</v>
      </c>
      <c r="BA16" s="6">
        <v>0.0</v>
      </c>
      <c r="BB16" s="6">
        <v>1.0</v>
      </c>
      <c r="BC16" s="6">
        <v>1.0</v>
      </c>
      <c r="BD16" s="6">
        <v>0.0</v>
      </c>
      <c r="BE16" s="6">
        <v>0.0</v>
      </c>
      <c r="BF16" s="6">
        <v>0.0</v>
      </c>
      <c r="BG16" s="6">
        <v>0.0</v>
      </c>
      <c r="BH16" s="6">
        <v>0.0</v>
      </c>
      <c r="BI16" s="7">
        <v>1.0</v>
      </c>
      <c r="BJ16" s="6">
        <v>0.0</v>
      </c>
      <c r="BK16" s="6">
        <v>0.0</v>
      </c>
      <c r="BL16" s="6">
        <v>0.0</v>
      </c>
      <c r="BM16" s="6">
        <v>0.0</v>
      </c>
      <c r="BN16" s="6">
        <v>0.0</v>
      </c>
      <c r="BO16" s="7">
        <v>0.0</v>
      </c>
      <c r="BP16" s="6">
        <v>0.0</v>
      </c>
      <c r="BQ16" s="6">
        <v>0.0</v>
      </c>
      <c r="BR16" s="6">
        <v>0.0</v>
      </c>
      <c r="BS16" s="6">
        <v>0.0</v>
      </c>
      <c r="BT16" s="6">
        <v>0.0</v>
      </c>
      <c r="BU16" s="6">
        <v>0.0</v>
      </c>
      <c r="BV16" s="7">
        <v>1.0</v>
      </c>
      <c r="BW16" s="6">
        <v>0.0</v>
      </c>
      <c r="BX16" s="6">
        <v>0.0</v>
      </c>
      <c r="BY16" s="6">
        <v>0.0</v>
      </c>
      <c r="BZ16" s="6">
        <v>0.0</v>
      </c>
      <c r="CA16" s="6">
        <v>1.0</v>
      </c>
      <c r="CB16" s="6">
        <v>0.0</v>
      </c>
      <c r="CC16" s="6">
        <v>0.0</v>
      </c>
      <c r="CD16" s="6">
        <v>0.0</v>
      </c>
      <c r="CE16" s="6">
        <v>0.0</v>
      </c>
      <c r="CF16" s="6">
        <v>0.0</v>
      </c>
      <c r="CG16" s="6">
        <v>0.0</v>
      </c>
      <c r="CH16" s="6">
        <v>0.0</v>
      </c>
      <c r="CI16" s="6">
        <v>0.0</v>
      </c>
      <c r="CJ16" s="6">
        <v>1.0</v>
      </c>
      <c r="CK16" s="6">
        <v>0.0</v>
      </c>
      <c r="CL16" s="6">
        <v>0.0</v>
      </c>
      <c r="CM16" s="7">
        <v>0.0</v>
      </c>
      <c r="CN16" s="6">
        <v>0.0</v>
      </c>
      <c r="CO16" s="6">
        <v>0.0</v>
      </c>
      <c r="CP16" s="6">
        <v>0.0</v>
      </c>
      <c r="CQ16" s="6">
        <v>0.0</v>
      </c>
      <c r="CR16" s="6">
        <v>0.0</v>
      </c>
      <c r="CS16" s="6">
        <v>0.0</v>
      </c>
      <c r="CT16" s="6">
        <v>0.0</v>
      </c>
      <c r="CU16" s="6">
        <v>0.0</v>
      </c>
      <c r="CV16" s="6">
        <v>0.0</v>
      </c>
      <c r="CW16" s="6">
        <v>0.0</v>
      </c>
      <c r="CX16" s="6">
        <v>0.0</v>
      </c>
      <c r="CY16" s="6">
        <v>0.0</v>
      </c>
      <c r="CZ16" s="6">
        <v>0.0</v>
      </c>
      <c r="DA16" s="6">
        <v>0.0</v>
      </c>
      <c r="DB16" s="7">
        <v>0.0</v>
      </c>
      <c r="DC16" s="6">
        <v>0.0</v>
      </c>
      <c r="DD16" s="6">
        <v>0.0</v>
      </c>
      <c r="DE16" s="6">
        <v>0.0</v>
      </c>
      <c r="DF16" s="6">
        <v>0.0</v>
      </c>
      <c r="DG16" s="6">
        <v>0.0</v>
      </c>
      <c r="DH16" s="6">
        <v>0.0</v>
      </c>
      <c r="DI16" s="6">
        <v>0.0</v>
      </c>
      <c r="DJ16" s="6">
        <v>0.0</v>
      </c>
      <c r="DK16" s="6">
        <v>0.0</v>
      </c>
      <c r="DL16" s="6">
        <v>0.0</v>
      </c>
      <c r="DM16" s="6">
        <v>0.0</v>
      </c>
      <c r="DN16" s="6">
        <v>0.0</v>
      </c>
      <c r="DO16" s="6">
        <v>0.0</v>
      </c>
      <c r="DP16" s="6">
        <v>0.0</v>
      </c>
      <c r="DQ16" s="7">
        <v>0.0</v>
      </c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</row>
    <row r="17">
      <c r="B17" s="8" t="s">
        <v>16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7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6">
        <v>0.0</v>
      </c>
      <c r="Z17" s="7">
        <v>1.0</v>
      </c>
      <c r="AA17" s="6">
        <v>1.0</v>
      </c>
      <c r="AB17" s="6">
        <v>1.0</v>
      </c>
      <c r="AC17" s="6">
        <v>0.0</v>
      </c>
      <c r="AD17" s="6">
        <v>0.0</v>
      </c>
      <c r="AE17" s="6">
        <v>0.0</v>
      </c>
      <c r="AF17" s="6">
        <v>0.0</v>
      </c>
      <c r="AG17" s="6">
        <v>0.0</v>
      </c>
      <c r="AH17" s="7">
        <v>0.0</v>
      </c>
      <c r="AI17" s="6">
        <v>0.0</v>
      </c>
      <c r="AJ17" s="6">
        <v>0.0</v>
      </c>
      <c r="AK17" s="6">
        <v>0.0</v>
      </c>
      <c r="AL17" s="6">
        <v>0.0</v>
      </c>
      <c r="AM17" s="6">
        <v>1.0</v>
      </c>
      <c r="AN17" s="6">
        <v>0.0</v>
      </c>
      <c r="AO17" s="6">
        <v>0.0</v>
      </c>
      <c r="AP17" s="7">
        <v>0.0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  <c r="AW17" s="6">
        <v>0.0</v>
      </c>
      <c r="AX17" s="7">
        <v>0.0</v>
      </c>
      <c r="AY17" s="6">
        <v>0.0</v>
      </c>
      <c r="AZ17" s="6">
        <v>0.0</v>
      </c>
      <c r="BA17" s="6">
        <v>0.0</v>
      </c>
      <c r="BB17" s="6">
        <v>1.0</v>
      </c>
      <c r="BC17" s="6">
        <v>0.0</v>
      </c>
      <c r="BD17" s="6">
        <v>0.0</v>
      </c>
      <c r="BE17" s="6">
        <v>0.0</v>
      </c>
      <c r="BF17" s="6">
        <v>1.0</v>
      </c>
      <c r="BG17" s="6">
        <v>0.0</v>
      </c>
      <c r="BH17" s="6">
        <v>0.0</v>
      </c>
      <c r="BI17" s="7">
        <v>0.0</v>
      </c>
      <c r="BJ17" s="6">
        <v>0.0</v>
      </c>
      <c r="BK17" s="6">
        <v>0.0</v>
      </c>
      <c r="BL17" s="6">
        <v>0.0</v>
      </c>
      <c r="BM17" s="6">
        <v>0.0</v>
      </c>
      <c r="BN17" s="6">
        <v>0.0</v>
      </c>
      <c r="BO17" s="7">
        <v>0.0</v>
      </c>
      <c r="BP17" s="6">
        <v>0.0</v>
      </c>
      <c r="BQ17" s="6">
        <v>1.0</v>
      </c>
      <c r="BR17" s="6">
        <v>0.0</v>
      </c>
      <c r="BS17" s="6">
        <v>0.0</v>
      </c>
      <c r="BT17" s="6">
        <v>0.0</v>
      </c>
      <c r="BU17" s="6">
        <v>0.0</v>
      </c>
      <c r="BV17" s="7">
        <v>1.0</v>
      </c>
      <c r="BW17" s="6">
        <v>0.0</v>
      </c>
      <c r="BX17" s="6">
        <v>0.0</v>
      </c>
      <c r="BY17" s="6">
        <v>0.0</v>
      </c>
      <c r="BZ17" s="6">
        <v>0.0</v>
      </c>
      <c r="CA17" s="6">
        <v>0.0</v>
      </c>
      <c r="CB17" s="6">
        <v>1.0</v>
      </c>
      <c r="CC17" s="6">
        <v>0.0</v>
      </c>
      <c r="CD17" s="6">
        <v>1.0</v>
      </c>
      <c r="CE17" s="6">
        <v>0.0</v>
      </c>
      <c r="CF17" s="6">
        <v>0.0</v>
      </c>
      <c r="CG17" s="6">
        <v>1.0</v>
      </c>
      <c r="CH17" s="6">
        <v>0.0</v>
      </c>
      <c r="CI17" s="6">
        <v>0.0</v>
      </c>
      <c r="CJ17" s="6">
        <v>0.0</v>
      </c>
      <c r="CK17" s="6">
        <v>0.0</v>
      </c>
      <c r="CL17" s="6">
        <v>0.0</v>
      </c>
      <c r="CM17" s="7">
        <v>1.0</v>
      </c>
      <c r="CN17" s="6">
        <v>0.0</v>
      </c>
      <c r="CO17" s="6">
        <v>0.0</v>
      </c>
      <c r="CP17" s="6">
        <v>0.0</v>
      </c>
      <c r="CQ17" s="6">
        <v>0.0</v>
      </c>
      <c r="CR17" s="6">
        <v>0.0</v>
      </c>
      <c r="CS17" s="6">
        <v>1.0</v>
      </c>
      <c r="CT17" s="6">
        <v>1.0</v>
      </c>
      <c r="CU17" s="6">
        <v>0.0</v>
      </c>
      <c r="CV17" s="6">
        <v>0.0</v>
      </c>
      <c r="CW17" s="6">
        <v>0.0</v>
      </c>
      <c r="CX17" s="6">
        <v>0.0</v>
      </c>
      <c r="CY17" s="6">
        <v>0.0</v>
      </c>
      <c r="CZ17" s="6">
        <v>0.0</v>
      </c>
      <c r="DA17" s="6">
        <v>0.0</v>
      </c>
      <c r="DB17" s="7">
        <v>0.0</v>
      </c>
      <c r="DC17" s="6">
        <v>0.0</v>
      </c>
      <c r="DD17" s="6">
        <v>0.0</v>
      </c>
      <c r="DE17" s="6">
        <v>0.0</v>
      </c>
      <c r="DF17" s="6">
        <v>0.0</v>
      </c>
      <c r="DG17" s="6">
        <v>0.0</v>
      </c>
      <c r="DH17" s="6">
        <v>0.0</v>
      </c>
      <c r="DI17" s="6">
        <v>0.0</v>
      </c>
      <c r="DJ17" s="6">
        <v>0.0</v>
      </c>
      <c r="DK17" s="6">
        <v>0.0</v>
      </c>
      <c r="DL17" s="6">
        <v>1.0</v>
      </c>
      <c r="DM17" s="6">
        <v>0.0</v>
      </c>
      <c r="DN17" s="6">
        <v>0.0</v>
      </c>
      <c r="DO17" s="6">
        <v>0.0</v>
      </c>
      <c r="DP17" s="6">
        <v>0.0</v>
      </c>
      <c r="DQ17" s="7">
        <v>1.0</v>
      </c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</row>
    <row r="18">
      <c r="B18" s="8" t="s">
        <v>17</v>
      </c>
      <c r="C18" s="6">
        <v>0.0</v>
      </c>
      <c r="D18" s="6">
        <v>0.0</v>
      </c>
      <c r="E18" s="6">
        <v>1.0</v>
      </c>
      <c r="F18" s="6">
        <v>0.0</v>
      </c>
      <c r="G18" s="6">
        <v>1.0</v>
      </c>
      <c r="H18" s="6">
        <v>0.0</v>
      </c>
      <c r="I18" s="7">
        <v>1.0</v>
      </c>
      <c r="J18" s="6">
        <v>0.0</v>
      </c>
      <c r="K18" s="6">
        <v>0.0</v>
      </c>
      <c r="L18" s="6">
        <v>0.0</v>
      </c>
      <c r="M18" s="6">
        <v>1.0</v>
      </c>
      <c r="N18" s="6">
        <v>1.0</v>
      </c>
      <c r="O18" s="6">
        <v>0.0</v>
      </c>
      <c r="P18" s="6">
        <v>0.0</v>
      </c>
      <c r="Q18" s="7">
        <v>0.0</v>
      </c>
      <c r="R18" s="6">
        <v>1.0</v>
      </c>
      <c r="S18" s="6">
        <v>1.0</v>
      </c>
      <c r="T18" s="6">
        <v>0.0</v>
      </c>
      <c r="U18" s="6">
        <v>0.0</v>
      </c>
      <c r="V18" s="6">
        <v>1.0</v>
      </c>
      <c r="W18" s="6">
        <v>0.0</v>
      </c>
      <c r="X18" s="6">
        <v>0.0</v>
      </c>
      <c r="Y18" s="6">
        <v>0.0</v>
      </c>
      <c r="Z18" s="7">
        <v>1.0</v>
      </c>
      <c r="AA18" s="6">
        <v>0.0</v>
      </c>
      <c r="AB18" s="6">
        <v>1.0</v>
      </c>
      <c r="AC18" s="6">
        <v>0.0</v>
      </c>
      <c r="AD18" s="6">
        <v>0.0</v>
      </c>
      <c r="AE18" s="6">
        <v>0.0</v>
      </c>
      <c r="AF18" s="6">
        <v>0.0</v>
      </c>
      <c r="AG18" s="6">
        <v>0.0</v>
      </c>
      <c r="AH18" s="7">
        <v>0.0</v>
      </c>
      <c r="AI18" s="6">
        <v>0.0</v>
      </c>
      <c r="AJ18" s="6">
        <v>0.0</v>
      </c>
      <c r="AK18" s="6">
        <v>1.0</v>
      </c>
      <c r="AL18" s="6">
        <v>0.0</v>
      </c>
      <c r="AM18" s="6">
        <v>0.0</v>
      </c>
      <c r="AN18" s="6">
        <v>0.0</v>
      </c>
      <c r="AO18" s="6">
        <v>0.0</v>
      </c>
      <c r="AP18" s="7">
        <v>1.0</v>
      </c>
      <c r="AQ18" s="6">
        <v>0.0</v>
      </c>
      <c r="AR18" s="6">
        <v>0.0</v>
      </c>
      <c r="AS18" s="6">
        <v>1.0</v>
      </c>
      <c r="AT18" s="6">
        <v>0.0</v>
      </c>
      <c r="AU18" s="6">
        <v>0.0</v>
      </c>
      <c r="AV18" s="6">
        <v>0.0</v>
      </c>
      <c r="AW18" s="6">
        <v>0.0</v>
      </c>
      <c r="AX18" s="7">
        <v>0.0</v>
      </c>
      <c r="AY18" s="6">
        <v>0.0</v>
      </c>
      <c r="AZ18" s="6">
        <v>0.0</v>
      </c>
      <c r="BA18" s="6">
        <v>0.0</v>
      </c>
      <c r="BB18" s="6">
        <v>1.0</v>
      </c>
      <c r="BC18" s="6">
        <v>0.0</v>
      </c>
      <c r="BD18" s="6">
        <v>0.0</v>
      </c>
      <c r="BE18" s="6">
        <v>0.0</v>
      </c>
      <c r="BF18" s="6">
        <v>0.0</v>
      </c>
      <c r="BG18" s="6">
        <v>0.0</v>
      </c>
      <c r="BH18" s="6">
        <v>0.0</v>
      </c>
      <c r="BI18" s="7">
        <v>0.0</v>
      </c>
      <c r="BJ18" s="6">
        <v>0.0</v>
      </c>
      <c r="BK18" s="6">
        <v>0.0</v>
      </c>
      <c r="BL18" s="6">
        <v>0.0</v>
      </c>
      <c r="BM18" s="6">
        <v>0.0</v>
      </c>
      <c r="BN18" s="6">
        <v>0.0</v>
      </c>
      <c r="BO18" s="7">
        <v>0.0</v>
      </c>
      <c r="BP18" s="6">
        <v>0.0</v>
      </c>
      <c r="BQ18" s="6">
        <v>0.0</v>
      </c>
      <c r="BR18" s="6">
        <v>1.0</v>
      </c>
      <c r="BS18" s="6">
        <v>0.0</v>
      </c>
      <c r="BT18" s="6">
        <v>0.0</v>
      </c>
      <c r="BU18" s="6">
        <v>0.0</v>
      </c>
      <c r="BV18" s="7">
        <v>1.0</v>
      </c>
      <c r="BW18" s="6">
        <v>0.0</v>
      </c>
      <c r="BX18" s="6">
        <v>0.0</v>
      </c>
      <c r="BY18" s="6">
        <v>0.0</v>
      </c>
      <c r="BZ18" s="6">
        <v>0.0</v>
      </c>
      <c r="CA18" s="6">
        <v>0.0</v>
      </c>
      <c r="CB18" s="6">
        <v>0.0</v>
      </c>
      <c r="CC18" s="6">
        <v>0.0</v>
      </c>
      <c r="CD18" s="6">
        <v>0.0</v>
      </c>
      <c r="CE18" s="6">
        <v>0.0</v>
      </c>
      <c r="CF18" s="6">
        <v>0.0</v>
      </c>
      <c r="CG18" s="6">
        <v>0.0</v>
      </c>
      <c r="CH18" s="6">
        <v>0.0</v>
      </c>
      <c r="CI18" s="6">
        <v>0.0</v>
      </c>
      <c r="CJ18" s="6">
        <v>0.0</v>
      </c>
      <c r="CK18" s="6">
        <v>0.0</v>
      </c>
      <c r="CL18" s="6">
        <v>0.0</v>
      </c>
      <c r="CM18" s="7">
        <v>0.0</v>
      </c>
      <c r="CN18" s="6">
        <v>0.0</v>
      </c>
      <c r="CO18" s="6">
        <v>0.0</v>
      </c>
      <c r="CP18" s="6">
        <v>0.0</v>
      </c>
      <c r="CQ18" s="6">
        <v>0.0</v>
      </c>
      <c r="CR18" s="6">
        <v>0.0</v>
      </c>
      <c r="CS18" s="6">
        <v>0.0</v>
      </c>
      <c r="CT18" s="6">
        <v>0.0</v>
      </c>
      <c r="CU18" s="6">
        <v>0.0</v>
      </c>
      <c r="CV18" s="6">
        <v>0.0</v>
      </c>
      <c r="CW18" s="6">
        <v>0.0</v>
      </c>
      <c r="CX18" s="6">
        <v>0.0</v>
      </c>
      <c r="CY18" s="6">
        <v>0.0</v>
      </c>
      <c r="CZ18" s="6">
        <v>0.0</v>
      </c>
      <c r="DA18" s="6">
        <v>0.0</v>
      </c>
      <c r="DB18" s="7">
        <v>0.0</v>
      </c>
      <c r="DC18" s="6">
        <v>0.0</v>
      </c>
      <c r="DD18" s="6">
        <v>0.0</v>
      </c>
      <c r="DE18" s="6">
        <v>0.0</v>
      </c>
      <c r="DF18" s="6">
        <v>0.0</v>
      </c>
      <c r="DG18" s="6">
        <v>0.0</v>
      </c>
      <c r="DH18" s="6">
        <v>0.0</v>
      </c>
      <c r="DI18" s="6">
        <v>0.0</v>
      </c>
      <c r="DJ18" s="6">
        <v>0.0</v>
      </c>
      <c r="DK18" s="6">
        <v>0.0</v>
      </c>
      <c r="DL18" s="6">
        <v>0.0</v>
      </c>
      <c r="DM18" s="6">
        <v>0.0</v>
      </c>
      <c r="DN18" s="6">
        <v>0.0</v>
      </c>
      <c r="DO18" s="6">
        <v>0.0</v>
      </c>
      <c r="DP18" s="6">
        <v>0.0</v>
      </c>
      <c r="DQ18" s="7">
        <v>0.0</v>
      </c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</row>
    <row r="19">
      <c r="B19" s="8" t="s">
        <v>18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7">
        <v>0.0</v>
      </c>
      <c r="R19" s="6">
        <v>0.0</v>
      </c>
      <c r="S19" s="6">
        <v>0.0</v>
      </c>
      <c r="T19" s="6">
        <v>1.0</v>
      </c>
      <c r="U19" s="6">
        <v>0.0</v>
      </c>
      <c r="V19" s="6">
        <v>1.0</v>
      </c>
      <c r="W19" s="6">
        <v>0.0</v>
      </c>
      <c r="X19" s="6">
        <v>0.0</v>
      </c>
      <c r="Y19" s="6">
        <v>0.0</v>
      </c>
      <c r="Z19" s="7">
        <v>0.0</v>
      </c>
      <c r="AA19" s="6">
        <v>0.0</v>
      </c>
      <c r="AB19" s="6">
        <v>0.0</v>
      </c>
      <c r="AC19" s="6">
        <v>0.0</v>
      </c>
      <c r="AD19" s="6">
        <v>0.0</v>
      </c>
      <c r="AE19" s="6">
        <v>0.0</v>
      </c>
      <c r="AF19" s="6">
        <v>0.0</v>
      </c>
      <c r="AG19" s="6">
        <v>0.0</v>
      </c>
      <c r="AH19" s="7">
        <v>0.0</v>
      </c>
      <c r="AI19" s="6">
        <v>0.0</v>
      </c>
      <c r="AJ19" s="6">
        <v>0.0</v>
      </c>
      <c r="AK19" s="6">
        <v>0.0</v>
      </c>
      <c r="AL19" s="6">
        <v>0.0</v>
      </c>
      <c r="AM19" s="6">
        <v>1.0</v>
      </c>
      <c r="AN19" s="6">
        <v>0.0</v>
      </c>
      <c r="AO19" s="6">
        <v>0.0</v>
      </c>
      <c r="AP19" s="7">
        <v>0.0</v>
      </c>
      <c r="AQ19" s="6">
        <v>0.0</v>
      </c>
      <c r="AR19" s="6">
        <v>0.0</v>
      </c>
      <c r="AS19" s="6">
        <v>0.0</v>
      </c>
      <c r="AT19" s="6">
        <v>0.0</v>
      </c>
      <c r="AU19" s="6">
        <v>0.0</v>
      </c>
      <c r="AV19" s="6">
        <v>0.0</v>
      </c>
      <c r="AW19" s="6">
        <v>1.0</v>
      </c>
      <c r="AX19" s="7">
        <v>0.0</v>
      </c>
      <c r="AY19" s="6">
        <v>0.0</v>
      </c>
      <c r="AZ19" s="6">
        <v>0.0</v>
      </c>
      <c r="BA19" s="6">
        <v>0.0</v>
      </c>
      <c r="BB19" s="6">
        <v>0.0</v>
      </c>
      <c r="BC19" s="6">
        <v>0.0</v>
      </c>
      <c r="BD19" s="6">
        <v>0.0</v>
      </c>
      <c r="BE19" s="6">
        <v>0.0</v>
      </c>
      <c r="BF19" s="6">
        <v>0.0</v>
      </c>
      <c r="BG19" s="6">
        <v>0.0</v>
      </c>
      <c r="BH19" s="6">
        <v>0.0</v>
      </c>
      <c r="BI19" s="7">
        <v>0.0</v>
      </c>
      <c r="BJ19" s="6">
        <v>0.0</v>
      </c>
      <c r="BK19" s="6">
        <v>0.0</v>
      </c>
      <c r="BL19" s="6">
        <v>0.0</v>
      </c>
      <c r="BM19" s="6">
        <v>0.0</v>
      </c>
      <c r="BN19" s="6">
        <v>0.0</v>
      </c>
      <c r="BO19" s="7">
        <v>0.0</v>
      </c>
      <c r="BP19" s="6">
        <v>0.0</v>
      </c>
      <c r="BQ19" s="6">
        <v>0.0</v>
      </c>
      <c r="BR19" s="6">
        <v>1.0</v>
      </c>
      <c r="BS19" s="6">
        <v>0.0</v>
      </c>
      <c r="BT19" s="6">
        <v>0.0</v>
      </c>
      <c r="BU19" s="6">
        <v>0.0</v>
      </c>
      <c r="BV19" s="7">
        <v>1.0</v>
      </c>
      <c r="BW19" s="6">
        <v>0.0</v>
      </c>
      <c r="BX19" s="6">
        <v>0.0</v>
      </c>
      <c r="BY19" s="6">
        <v>0.0</v>
      </c>
      <c r="BZ19" s="6">
        <v>0.0</v>
      </c>
      <c r="CA19" s="6">
        <v>0.0</v>
      </c>
      <c r="CB19" s="6">
        <v>1.0</v>
      </c>
      <c r="CC19" s="6">
        <v>0.0</v>
      </c>
      <c r="CD19" s="6">
        <v>1.0</v>
      </c>
      <c r="CE19" s="6">
        <v>0.0</v>
      </c>
      <c r="CF19" s="6">
        <v>0.0</v>
      </c>
      <c r="CG19" s="6">
        <v>0.0</v>
      </c>
      <c r="CH19" s="6">
        <v>0.0</v>
      </c>
      <c r="CI19" s="6">
        <v>0.0</v>
      </c>
      <c r="CJ19" s="6">
        <v>0.0</v>
      </c>
      <c r="CK19" s="6">
        <v>0.0</v>
      </c>
      <c r="CL19" s="6">
        <v>0.0</v>
      </c>
      <c r="CM19" s="7">
        <v>0.0</v>
      </c>
      <c r="CN19" s="6">
        <v>0.0</v>
      </c>
      <c r="CO19" s="6">
        <v>0.0</v>
      </c>
      <c r="CP19" s="6">
        <v>0.0</v>
      </c>
      <c r="CQ19" s="6">
        <v>0.0</v>
      </c>
      <c r="CR19" s="6">
        <v>0.0</v>
      </c>
      <c r="CS19" s="6">
        <v>0.0</v>
      </c>
      <c r="CT19" s="6">
        <v>0.0</v>
      </c>
      <c r="CU19" s="6">
        <v>0.0</v>
      </c>
      <c r="CV19" s="6">
        <v>0.0</v>
      </c>
      <c r="CW19" s="6">
        <v>0.0</v>
      </c>
      <c r="CX19" s="6">
        <v>0.0</v>
      </c>
      <c r="CY19" s="6">
        <v>0.0</v>
      </c>
      <c r="CZ19" s="6">
        <v>0.0</v>
      </c>
      <c r="DA19" s="6">
        <v>0.0</v>
      </c>
      <c r="DB19" s="7">
        <v>0.0</v>
      </c>
      <c r="DC19" s="6">
        <v>0.0</v>
      </c>
      <c r="DD19" s="6">
        <v>0.0</v>
      </c>
      <c r="DE19" s="6">
        <v>0.0</v>
      </c>
      <c r="DF19" s="6">
        <v>0.0</v>
      </c>
      <c r="DG19" s="6">
        <v>0.0</v>
      </c>
      <c r="DH19" s="6">
        <v>0.0</v>
      </c>
      <c r="DI19" s="6">
        <v>0.0</v>
      </c>
      <c r="DJ19" s="6">
        <v>0.0</v>
      </c>
      <c r="DK19" s="6">
        <v>0.0</v>
      </c>
      <c r="DL19" s="6">
        <v>0.0</v>
      </c>
      <c r="DM19" s="6">
        <v>0.0</v>
      </c>
      <c r="DN19" s="6">
        <v>0.0</v>
      </c>
      <c r="DO19" s="6">
        <v>0.0</v>
      </c>
      <c r="DP19" s="6">
        <v>0.0</v>
      </c>
      <c r="DQ19" s="7">
        <v>0.0</v>
      </c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</row>
    <row r="20">
      <c r="B20" s="8" t="s">
        <v>19</v>
      </c>
      <c r="C20" s="6">
        <v>0.0</v>
      </c>
      <c r="D20" s="6">
        <v>0.0</v>
      </c>
      <c r="E20" s="6">
        <v>1.0</v>
      </c>
      <c r="F20" s="6">
        <v>1.0</v>
      </c>
      <c r="G20" s="6">
        <v>1.0</v>
      </c>
      <c r="H20" s="6">
        <v>0.0</v>
      </c>
      <c r="I20" s="7">
        <v>0.0</v>
      </c>
      <c r="J20" s="6">
        <v>0.0</v>
      </c>
      <c r="K20" s="6">
        <v>1.0</v>
      </c>
      <c r="L20" s="6">
        <v>0.0</v>
      </c>
      <c r="M20" s="6">
        <v>0.0</v>
      </c>
      <c r="N20" s="6">
        <v>1.0</v>
      </c>
      <c r="O20" s="6">
        <v>0.0</v>
      </c>
      <c r="P20" s="6">
        <v>0.0</v>
      </c>
      <c r="Q20" s="7">
        <v>0.0</v>
      </c>
      <c r="R20" s="6">
        <v>1.0</v>
      </c>
      <c r="S20" s="6">
        <v>1.0</v>
      </c>
      <c r="T20" s="6">
        <v>1.0</v>
      </c>
      <c r="U20" s="6">
        <v>0.0</v>
      </c>
      <c r="V20" s="6">
        <v>0.0</v>
      </c>
      <c r="W20" s="6">
        <v>0.0</v>
      </c>
      <c r="X20" s="6">
        <v>0.0</v>
      </c>
      <c r="Y20" s="6">
        <v>0.0</v>
      </c>
      <c r="Z20" s="7">
        <v>1.0</v>
      </c>
      <c r="AA20" s="6">
        <v>0.0</v>
      </c>
      <c r="AB20" s="6">
        <v>0.0</v>
      </c>
      <c r="AC20" s="6">
        <v>1.0</v>
      </c>
      <c r="AD20" s="6">
        <v>0.0</v>
      </c>
      <c r="AE20" s="6">
        <v>1.0</v>
      </c>
      <c r="AF20" s="6">
        <v>0.0</v>
      </c>
      <c r="AG20" s="6">
        <v>0.0</v>
      </c>
      <c r="AH20" s="7">
        <v>0.0</v>
      </c>
      <c r="AI20" s="6">
        <v>0.0</v>
      </c>
      <c r="AJ20" s="6">
        <v>0.0</v>
      </c>
      <c r="AK20" s="6">
        <v>1.0</v>
      </c>
      <c r="AL20" s="6">
        <v>0.0</v>
      </c>
      <c r="AM20" s="6">
        <v>0.0</v>
      </c>
      <c r="AN20" s="6">
        <v>0.0</v>
      </c>
      <c r="AO20" s="6">
        <v>0.0</v>
      </c>
      <c r="AP20" s="7">
        <v>0.0</v>
      </c>
      <c r="AQ20" s="6">
        <v>0.0</v>
      </c>
      <c r="AR20" s="6">
        <v>0.0</v>
      </c>
      <c r="AS20" s="6">
        <v>0.0</v>
      </c>
      <c r="AT20" s="6">
        <v>0.0</v>
      </c>
      <c r="AU20" s="6">
        <v>0.0</v>
      </c>
      <c r="AV20" s="6">
        <v>0.0</v>
      </c>
      <c r="AW20" s="6">
        <v>1.0</v>
      </c>
      <c r="AX20" s="7">
        <v>0.0</v>
      </c>
      <c r="AY20" s="6">
        <v>0.0</v>
      </c>
      <c r="AZ20" s="6">
        <v>1.0</v>
      </c>
      <c r="BA20" s="6">
        <v>0.0</v>
      </c>
      <c r="BB20" s="6">
        <v>1.0</v>
      </c>
      <c r="BC20" s="6">
        <v>0.0</v>
      </c>
      <c r="BD20" s="6">
        <v>0.0</v>
      </c>
      <c r="BE20" s="6">
        <v>1.0</v>
      </c>
      <c r="BF20" s="6">
        <v>1.0</v>
      </c>
      <c r="BG20" s="6">
        <v>1.0</v>
      </c>
      <c r="BH20" s="6">
        <v>1.0</v>
      </c>
      <c r="BI20" s="7">
        <v>0.0</v>
      </c>
      <c r="BJ20" s="6">
        <v>0.0</v>
      </c>
      <c r="BK20" s="6">
        <v>0.0</v>
      </c>
      <c r="BL20" s="6">
        <v>0.0</v>
      </c>
      <c r="BM20" s="6">
        <v>0.0</v>
      </c>
      <c r="BN20" s="6">
        <v>0.0</v>
      </c>
      <c r="BO20" s="7">
        <v>0.0</v>
      </c>
      <c r="BP20" s="6">
        <v>0.0</v>
      </c>
      <c r="BQ20" s="6">
        <v>0.0</v>
      </c>
      <c r="BR20" s="6">
        <v>0.0</v>
      </c>
      <c r="BS20" s="6">
        <v>0.0</v>
      </c>
      <c r="BT20" s="6">
        <v>0.0</v>
      </c>
      <c r="BU20" s="6">
        <v>0.0</v>
      </c>
      <c r="BV20" s="7">
        <v>1.0</v>
      </c>
      <c r="BW20" s="6">
        <v>0.0</v>
      </c>
      <c r="BX20" s="6">
        <v>0.0</v>
      </c>
      <c r="BY20" s="6">
        <v>0.0</v>
      </c>
      <c r="BZ20" s="6">
        <v>0.0</v>
      </c>
      <c r="CA20" s="6">
        <v>0.0</v>
      </c>
      <c r="CB20" s="6">
        <v>0.0</v>
      </c>
      <c r="CC20" s="6">
        <v>0.0</v>
      </c>
      <c r="CD20" s="6">
        <v>0.0</v>
      </c>
      <c r="CE20" s="6">
        <v>0.0</v>
      </c>
      <c r="CF20" s="6">
        <v>0.0</v>
      </c>
      <c r="CG20" s="6">
        <v>1.0</v>
      </c>
      <c r="CH20" s="6">
        <v>0.0</v>
      </c>
      <c r="CI20" s="6">
        <v>0.0</v>
      </c>
      <c r="CJ20" s="6">
        <v>1.0</v>
      </c>
      <c r="CK20" s="6">
        <v>0.0</v>
      </c>
      <c r="CL20" s="6">
        <v>0.0</v>
      </c>
      <c r="CM20" s="7">
        <v>0.0</v>
      </c>
      <c r="CN20" s="6">
        <v>0.0</v>
      </c>
      <c r="CO20" s="6">
        <v>0.0</v>
      </c>
      <c r="CP20" s="6">
        <v>1.0</v>
      </c>
      <c r="CQ20" s="6">
        <v>0.0</v>
      </c>
      <c r="CR20" s="6">
        <v>0.0</v>
      </c>
      <c r="CS20" s="6">
        <v>0.0</v>
      </c>
      <c r="CT20" s="6">
        <v>1.0</v>
      </c>
      <c r="CU20" s="6">
        <v>0.0</v>
      </c>
      <c r="CV20" s="6">
        <v>0.0</v>
      </c>
      <c r="CW20" s="6">
        <v>0.0</v>
      </c>
      <c r="CX20" s="6">
        <v>0.0</v>
      </c>
      <c r="CY20" s="6">
        <v>0.0</v>
      </c>
      <c r="CZ20" s="6">
        <v>0.0</v>
      </c>
      <c r="DA20" s="6">
        <v>0.0</v>
      </c>
      <c r="DB20" s="7">
        <v>0.0</v>
      </c>
      <c r="DC20" s="6">
        <v>0.0</v>
      </c>
      <c r="DD20" s="6">
        <v>0.0</v>
      </c>
      <c r="DE20" s="6">
        <v>0.0</v>
      </c>
      <c r="DF20" s="6">
        <v>0.0</v>
      </c>
      <c r="DG20" s="6">
        <v>0.0</v>
      </c>
      <c r="DH20" s="6">
        <v>0.0</v>
      </c>
      <c r="DI20" s="6">
        <v>0.0</v>
      </c>
      <c r="DJ20" s="6">
        <v>0.0</v>
      </c>
      <c r="DK20" s="6">
        <v>0.0</v>
      </c>
      <c r="DL20" s="6">
        <v>0.0</v>
      </c>
      <c r="DM20" s="6">
        <v>0.0</v>
      </c>
      <c r="DN20" s="6">
        <v>0.0</v>
      </c>
      <c r="DO20" s="6">
        <v>1.0</v>
      </c>
      <c r="DP20" s="6">
        <v>1.0</v>
      </c>
      <c r="DQ20" s="7">
        <v>1.0</v>
      </c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</row>
    <row r="21">
      <c r="B21" s="8" t="s">
        <v>20</v>
      </c>
      <c r="C21" s="6">
        <v>0.0</v>
      </c>
      <c r="D21" s="6">
        <v>0.0</v>
      </c>
      <c r="E21" s="6">
        <v>1.0</v>
      </c>
      <c r="F21" s="6">
        <v>1.0</v>
      </c>
      <c r="G21" s="6">
        <v>0.0</v>
      </c>
      <c r="H21" s="6">
        <v>0.0</v>
      </c>
      <c r="I21" s="7">
        <v>0.0</v>
      </c>
      <c r="J21" s="6">
        <v>0.0</v>
      </c>
      <c r="K21" s="6">
        <v>1.0</v>
      </c>
      <c r="L21" s="6">
        <v>1.0</v>
      </c>
      <c r="M21" s="6">
        <v>0.0</v>
      </c>
      <c r="N21" s="6">
        <v>0.0</v>
      </c>
      <c r="O21" s="6">
        <v>0.0</v>
      </c>
      <c r="P21" s="6">
        <v>0.0</v>
      </c>
      <c r="Q21" s="7">
        <v>0.0</v>
      </c>
      <c r="R21" s="6">
        <v>0.0</v>
      </c>
      <c r="S21" s="6">
        <v>0.0</v>
      </c>
      <c r="T21" s="6">
        <v>1.0</v>
      </c>
      <c r="U21" s="6">
        <v>0.0</v>
      </c>
      <c r="V21" s="6">
        <v>0.0</v>
      </c>
      <c r="W21" s="6">
        <v>0.0</v>
      </c>
      <c r="X21" s="6">
        <v>0.0</v>
      </c>
      <c r="Y21" s="6">
        <v>0.0</v>
      </c>
      <c r="Z21" s="7">
        <v>1.0</v>
      </c>
      <c r="AA21" s="6">
        <v>1.0</v>
      </c>
      <c r="AB21" s="6">
        <v>0.0</v>
      </c>
      <c r="AC21" s="6">
        <v>0.0</v>
      </c>
      <c r="AD21" s="6">
        <v>0.0</v>
      </c>
      <c r="AE21" s="6">
        <v>0.0</v>
      </c>
      <c r="AF21" s="6">
        <v>0.0</v>
      </c>
      <c r="AG21" s="6">
        <v>0.0</v>
      </c>
      <c r="AH21" s="7">
        <v>0.0</v>
      </c>
      <c r="AI21" s="6">
        <v>1.0</v>
      </c>
      <c r="AJ21" s="6">
        <v>0.0</v>
      </c>
      <c r="AK21" s="6">
        <v>0.0</v>
      </c>
      <c r="AL21" s="6">
        <v>0.0</v>
      </c>
      <c r="AM21" s="6">
        <v>1.0</v>
      </c>
      <c r="AN21" s="6">
        <v>0.0</v>
      </c>
      <c r="AO21" s="6">
        <v>0.0</v>
      </c>
      <c r="AP21" s="7">
        <v>1.0</v>
      </c>
      <c r="AQ21" s="6">
        <v>0.0</v>
      </c>
      <c r="AR21" s="6">
        <v>0.0</v>
      </c>
      <c r="AS21" s="6">
        <v>0.0</v>
      </c>
      <c r="AT21" s="6">
        <v>0.0</v>
      </c>
      <c r="AU21" s="6">
        <v>0.0</v>
      </c>
      <c r="AV21" s="6">
        <v>0.0</v>
      </c>
      <c r="AW21" s="6">
        <v>0.0</v>
      </c>
      <c r="AX21" s="7">
        <v>0.0</v>
      </c>
      <c r="AY21" s="6">
        <v>0.0</v>
      </c>
      <c r="AZ21" s="6">
        <v>0.0</v>
      </c>
      <c r="BA21" s="6">
        <v>0.0</v>
      </c>
      <c r="BB21" s="6">
        <v>0.0</v>
      </c>
      <c r="BC21" s="6">
        <v>0.0</v>
      </c>
      <c r="BD21" s="6">
        <v>0.0</v>
      </c>
      <c r="BE21" s="6">
        <v>0.0</v>
      </c>
      <c r="BF21" s="6">
        <v>0.0</v>
      </c>
      <c r="BG21" s="6">
        <v>0.0</v>
      </c>
      <c r="BH21" s="6">
        <v>1.0</v>
      </c>
      <c r="BI21" s="7">
        <v>1.0</v>
      </c>
      <c r="BJ21" s="6">
        <v>0.0</v>
      </c>
      <c r="BK21" s="6">
        <v>0.0</v>
      </c>
      <c r="BL21" s="6">
        <v>0.0</v>
      </c>
      <c r="BM21" s="6">
        <v>0.0</v>
      </c>
      <c r="BN21" s="6">
        <v>0.0</v>
      </c>
      <c r="BO21" s="7">
        <v>0.0</v>
      </c>
      <c r="BP21" s="6">
        <v>1.0</v>
      </c>
      <c r="BQ21" s="6">
        <v>1.0</v>
      </c>
      <c r="BR21" s="6">
        <v>1.0</v>
      </c>
      <c r="BS21" s="6">
        <v>0.0</v>
      </c>
      <c r="BT21" s="6">
        <v>0.0</v>
      </c>
      <c r="BU21" s="6">
        <v>0.0</v>
      </c>
      <c r="BV21" s="7">
        <v>0.0</v>
      </c>
      <c r="BW21" s="6">
        <v>0.0</v>
      </c>
      <c r="BX21" s="6">
        <v>0.0</v>
      </c>
      <c r="BY21" s="6">
        <v>0.0</v>
      </c>
      <c r="BZ21" s="6">
        <v>1.0</v>
      </c>
      <c r="CA21" s="6">
        <v>0.0</v>
      </c>
      <c r="CB21" s="6">
        <v>1.0</v>
      </c>
      <c r="CC21" s="6">
        <v>1.0</v>
      </c>
      <c r="CD21" s="6">
        <v>1.0</v>
      </c>
      <c r="CE21" s="6">
        <v>1.0</v>
      </c>
      <c r="CF21" s="6">
        <v>0.0</v>
      </c>
      <c r="CG21" s="6">
        <v>0.0</v>
      </c>
      <c r="CH21" s="6">
        <v>1.0</v>
      </c>
      <c r="CI21" s="6">
        <v>0.0</v>
      </c>
      <c r="CJ21" s="6">
        <v>0.0</v>
      </c>
      <c r="CK21" s="6">
        <v>0.0</v>
      </c>
      <c r="CL21" s="6">
        <v>0.0</v>
      </c>
      <c r="CM21" s="7">
        <v>0.0</v>
      </c>
      <c r="CN21" s="6">
        <v>0.0</v>
      </c>
      <c r="CO21" s="6">
        <v>0.0</v>
      </c>
      <c r="CP21" s="6">
        <v>0.0</v>
      </c>
      <c r="CQ21" s="6">
        <v>0.0</v>
      </c>
      <c r="CR21" s="6">
        <v>1.0</v>
      </c>
      <c r="CS21" s="6">
        <v>0.0</v>
      </c>
      <c r="CT21" s="6">
        <v>1.0</v>
      </c>
      <c r="CU21" s="6">
        <v>0.0</v>
      </c>
      <c r="CV21" s="6">
        <v>0.0</v>
      </c>
      <c r="CW21" s="6">
        <v>0.0</v>
      </c>
      <c r="CX21" s="6">
        <v>1.0</v>
      </c>
      <c r="CY21" s="6">
        <v>0.0</v>
      </c>
      <c r="CZ21" s="6">
        <v>0.0</v>
      </c>
      <c r="DA21" s="6">
        <v>0.0</v>
      </c>
      <c r="DB21" s="7">
        <v>0.0</v>
      </c>
      <c r="DC21" s="6">
        <v>1.0</v>
      </c>
      <c r="DD21" s="6">
        <v>1.0</v>
      </c>
      <c r="DE21" s="6">
        <v>0.0</v>
      </c>
      <c r="DF21" s="6">
        <v>0.0</v>
      </c>
      <c r="DG21" s="6">
        <v>0.0</v>
      </c>
      <c r="DH21" s="6">
        <v>0.0</v>
      </c>
      <c r="DI21" s="6">
        <v>0.0</v>
      </c>
      <c r="DJ21" s="6">
        <v>0.0</v>
      </c>
      <c r="DK21" s="6">
        <v>1.0</v>
      </c>
      <c r="DL21" s="6">
        <v>1.0</v>
      </c>
      <c r="DM21" s="6">
        <v>0.0</v>
      </c>
      <c r="DN21" s="6">
        <v>0.0</v>
      </c>
      <c r="DO21" s="6">
        <v>0.0</v>
      </c>
      <c r="DP21" s="6">
        <v>0.0</v>
      </c>
      <c r="DQ21" s="7">
        <v>0.0</v>
      </c>
    </row>
    <row r="22">
      <c r="B22" s="8" t="s">
        <v>21</v>
      </c>
      <c r="C22" s="6">
        <v>0.0</v>
      </c>
      <c r="D22" s="6">
        <v>0.0</v>
      </c>
      <c r="E22" s="6">
        <v>1.0</v>
      </c>
      <c r="F22" s="6">
        <v>0.0</v>
      </c>
      <c r="G22" s="6">
        <v>1.0</v>
      </c>
      <c r="H22" s="6">
        <v>0.0</v>
      </c>
      <c r="I22" s="7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1.0</v>
      </c>
      <c r="O22" s="6">
        <v>0.0</v>
      </c>
      <c r="P22" s="6">
        <v>0.0</v>
      </c>
      <c r="Q22" s="7">
        <v>0.0</v>
      </c>
      <c r="R22" s="6">
        <v>0.0</v>
      </c>
      <c r="S22" s="6">
        <v>1.0</v>
      </c>
      <c r="T22" s="6">
        <v>0.0</v>
      </c>
      <c r="U22" s="6">
        <v>0.0</v>
      </c>
      <c r="V22" s="6">
        <v>1.0</v>
      </c>
      <c r="W22" s="6">
        <v>1.0</v>
      </c>
      <c r="X22" s="6">
        <v>0.0</v>
      </c>
      <c r="Y22" s="6">
        <v>1.0</v>
      </c>
      <c r="Z22" s="7">
        <v>0.0</v>
      </c>
      <c r="AA22" s="6">
        <v>0.0</v>
      </c>
      <c r="AB22" s="6">
        <v>0.0</v>
      </c>
      <c r="AC22" s="6">
        <v>0.0</v>
      </c>
      <c r="AD22" s="6">
        <v>0.0</v>
      </c>
      <c r="AE22" s="6">
        <v>0.0</v>
      </c>
      <c r="AF22" s="6">
        <v>0.0</v>
      </c>
      <c r="AG22" s="6">
        <v>0.0</v>
      </c>
      <c r="AH22" s="7">
        <v>0.0</v>
      </c>
      <c r="AI22" s="6">
        <v>0.0</v>
      </c>
      <c r="AJ22" s="6">
        <v>0.0</v>
      </c>
      <c r="AK22" s="6">
        <v>0.0</v>
      </c>
      <c r="AL22" s="6">
        <v>0.0</v>
      </c>
      <c r="AM22" s="6">
        <v>1.0</v>
      </c>
      <c r="AN22" s="6">
        <v>1.0</v>
      </c>
      <c r="AO22" s="6">
        <v>0.0</v>
      </c>
      <c r="AP22" s="7">
        <v>0.0</v>
      </c>
      <c r="AQ22" s="6">
        <v>0.0</v>
      </c>
      <c r="AR22" s="6">
        <v>0.0</v>
      </c>
      <c r="AS22" s="6">
        <v>1.0</v>
      </c>
      <c r="AT22" s="6">
        <v>0.0</v>
      </c>
      <c r="AU22" s="6">
        <v>0.0</v>
      </c>
      <c r="AV22" s="6">
        <v>0.0</v>
      </c>
      <c r="AW22" s="6">
        <v>0.0</v>
      </c>
      <c r="AX22" s="7">
        <v>0.0</v>
      </c>
      <c r="AY22" s="6">
        <v>0.0</v>
      </c>
      <c r="AZ22" s="6">
        <v>0.0</v>
      </c>
      <c r="BA22" s="6">
        <v>0.0</v>
      </c>
      <c r="BB22" s="6">
        <v>1.0</v>
      </c>
      <c r="BC22" s="6">
        <v>1.0</v>
      </c>
      <c r="BD22" s="6">
        <v>0.0</v>
      </c>
      <c r="BE22" s="6">
        <v>0.0</v>
      </c>
      <c r="BF22" s="6">
        <v>1.0</v>
      </c>
      <c r="BG22" s="6">
        <v>0.0</v>
      </c>
      <c r="BH22" s="6">
        <v>1.0</v>
      </c>
      <c r="BI22" s="7">
        <v>0.0</v>
      </c>
      <c r="BJ22" s="6">
        <v>1.0</v>
      </c>
      <c r="BK22" s="6">
        <v>1.0</v>
      </c>
      <c r="BL22" s="6">
        <v>0.0</v>
      </c>
      <c r="BM22" s="6">
        <v>0.0</v>
      </c>
      <c r="BN22" s="6">
        <v>1.0</v>
      </c>
      <c r="BO22" s="7">
        <v>0.0</v>
      </c>
      <c r="BP22" s="6">
        <v>0.0</v>
      </c>
      <c r="BQ22" s="6">
        <v>0.0</v>
      </c>
      <c r="BR22" s="6">
        <v>0.0</v>
      </c>
      <c r="BS22" s="6">
        <v>0.0</v>
      </c>
      <c r="BT22" s="6">
        <v>0.0</v>
      </c>
      <c r="BU22" s="6">
        <v>0.0</v>
      </c>
      <c r="BV22" s="7">
        <v>0.0</v>
      </c>
      <c r="BW22" s="6">
        <v>0.0</v>
      </c>
      <c r="BX22" s="6">
        <v>1.0</v>
      </c>
      <c r="BY22" s="6">
        <v>0.0</v>
      </c>
      <c r="BZ22" s="6">
        <v>0.0</v>
      </c>
      <c r="CA22" s="6">
        <v>1.0</v>
      </c>
      <c r="CB22" s="6">
        <v>1.0</v>
      </c>
      <c r="CC22" s="6">
        <v>0.0</v>
      </c>
      <c r="CD22" s="6">
        <v>1.0</v>
      </c>
      <c r="CE22" s="6">
        <v>0.0</v>
      </c>
      <c r="CF22" s="6">
        <v>0.0</v>
      </c>
      <c r="CG22" s="6">
        <v>1.0</v>
      </c>
      <c r="CH22" s="6">
        <v>0.0</v>
      </c>
      <c r="CI22" s="6">
        <v>0.0</v>
      </c>
      <c r="CJ22" s="6">
        <v>1.0</v>
      </c>
      <c r="CK22" s="6">
        <v>0.0</v>
      </c>
      <c r="CL22" s="6">
        <v>1.0</v>
      </c>
      <c r="CM22" s="7">
        <v>1.0</v>
      </c>
      <c r="CN22" s="6">
        <v>0.0</v>
      </c>
      <c r="CO22" s="6">
        <v>0.0</v>
      </c>
      <c r="CP22" s="6">
        <v>0.0</v>
      </c>
      <c r="CQ22" s="6">
        <v>0.0</v>
      </c>
      <c r="CR22" s="6">
        <v>0.0</v>
      </c>
      <c r="CS22" s="6">
        <v>0.0</v>
      </c>
      <c r="CT22" s="6">
        <v>1.0</v>
      </c>
      <c r="CU22" s="6">
        <v>0.0</v>
      </c>
      <c r="CV22" s="6">
        <v>0.0</v>
      </c>
      <c r="CW22" s="6">
        <v>0.0</v>
      </c>
      <c r="CX22" s="6">
        <v>0.0</v>
      </c>
      <c r="CY22" s="6">
        <v>0.0</v>
      </c>
      <c r="CZ22" s="6">
        <v>0.0</v>
      </c>
      <c r="DA22" s="6">
        <v>0.0</v>
      </c>
      <c r="DB22" s="7">
        <v>1.0</v>
      </c>
      <c r="DC22" s="6">
        <v>0.0</v>
      </c>
      <c r="DD22" s="6">
        <v>0.0</v>
      </c>
      <c r="DE22" s="6">
        <v>0.0</v>
      </c>
      <c r="DF22" s="6">
        <v>0.0</v>
      </c>
      <c r="DG22" s="6">
        <v>1.0</v>
      </c>
      <c r="DH22" s="6">
        <v>0.0</v>
      </c>
      <c r="DI22" s="6">
        <v>0.0</v>
      </c>
      <c r="DJ22" s="6">
        <v>0.0</v>
      </c>
      <c r="DK22" s="6">
        <v>0.0</v>
      </c>
      <c r="DL22" s="6">
        <v>0.0</v>
      </c>
      <c r="DM22" s="6">
        <v>0.0</v>
      </c>
      <c r="DN22" s="6">
        <v>1.0</v>
      </c>
      <c r="DO22" s="6">
        <v>0.0</v>
      </c>
      <c r="DP22" s="6">
        <v>0.0</v>
      </c>
      <c r="DQ22" s="7">
        <v>0.0</v>
      </c>
    </row>
    <row r="23">
      <c r="B23" s="8" t="s">
        <v>22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7">
        <v>0.0</v>
      </c>
      <c r="R23" s="6">
        <v>0.0</v>
      </c>
      <c r="S23" s="6">
        <v>0.0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  <c r="Y23" s="6">
        <v>0.0</v>
      </c>
      <c r="Z23" s="7">
        <v>0.0</v>
      </c>
      <c r="AA23" s="6">
        <v>0.0</v>
      </c>
      <c r="AB23" s="6">
        <v>0.0</v>
      </c>
      <c r="AC23" s="6">
        <v>0.0</v>
      </c>
      <c r="AD23" s="6">
        <v>0.0</v>
      </c>
      <c r="AE23" s="6">
        <v>0.0</v>
      </c>
      <c r="AF23" s="6">
        <v>0.0</v>
      </c>
      <c r="AG23" s="6">
        <v>0.0</v>
      </c>
      <c r="AH23" s="7">
        <v>0.0</v>
      </c>
      <c r="AI23" s="6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6">
        <v>0.0</v>
      </c>
      <c r="AP23" s="7">
        <v>0.0</v>
      </c>
      <c r="AQ23" s="6">
        <v>0.0</v>
      </c>
      <c r="AR23" s="6">
        <v>0.0</v>
      </c>
      <c r="AS23" s="6">
        <v>0.0</v>
      </c>
      <c r="AT23" s="6">
        <v>0.0</v>
      </c>
      <c r="AU23" s="6">
        <v>0.0</v>
      </c>
      <c r="AV23" s="6">
        <v>0.0</v>
      </c>
      <c r="AW23" s="6">
        <v>0.0</v>
      </c>
      <c r="AX23" s="7">
        <v>0.0</v>
      </c>
      <c r="AY23" s="6">
        <v>0.0</v>
      </c>
      <c r="AZ23" s="6">
        <v>0.0</v>
      </c>
      <c r="BA23" s="6">
        <v>0.0</v>
      </c>
      <c r="BB23" s="6">
        <v>0.0</v>
      </c>
      <c r="BC23" s="6">
        <v>0.0</v>
      </c>
      <c r="BD23" s="6">
        <v>0.0</v>
      </c>
      <c r="BE23" s="6">
        <v>0.0</v>
      </c>
      <c r="BF23" s="6">
        <v>0.0</v>
      </c>
      <c r="BG23" s="6">
        <v>0.0</v>
      </c>
      <c r="BH23" s="6">
        <v>0.0</v>
      </c>
      <c r="BI23" s="7">
        <v>0.0</v>
      </c>
      <c r="BJ23" s="6">
        <v>0.0</v>
      </c>
      <c r="BK23" s="6">
        <v>0.0</v>
      </c>
      <c r="BL23" s="6">
        <v>0.0</v>
      </c>
      <c r="BM23" s="6">
        <v>0.0</v>
      </c>
      <c r="BN23" s="6">
        <v>0.0</v>
      </c>
      <c r="BO23" s="7">
        <v>0.0</v>
      </c>
      <c r="BP23" s="6">
        <v>0.0</v>
      </c>
      <c r="BQ23" s="6">
        <v>0.0</v>
      </c>
      <c r="BR23" s="6">
        <v>0.0</v>
      </c>
      <c r="BS23" s="6">
        <v>0.0</v>
      </c>
      <c r="BT23" s="6">
        <v>0.0</v>
      </c>
      <c r="BU23" s="6">
        <v>0.0</v>
      </c>
      <c r="BV23" s="7">
        <v>0.0</v>
      </c>
      <c r="BW23" s="6">
        <v>0.0</v>
      </c>
      <c r="BX23" s="6">
        <v>0.0</v>
      </c>
      <c r="BY23" s="6">
        <v>0.0</v>
      </c>
      <c r="BZ23" s="6">
        <v>0.0</v>
      </c>
      <c r="CA23" s="6">
        <v>0.0</v>
      </c>
      <c r="CB23" s="6">
        <v>0.0</v>
      </c>
      <c r="CC23" s="6">
        <v>0.0</v>
      </c>
      <c r="CD23" s="6">
        <v>0.0</v>
      </c>
      <c r="CE23" s="6">
        <v>0.0</v>
      </c>
      <c r="CF23" s="6">
        <v>0.0</v>
      </c>
      <c r="CG23" s="6">
        <v>0.0</v>
      </c>
      <c r="CH23" s="6">
        <v>0.0</v>
      </c>
      <c r="CI23" s="6">
        <v>0.0</v>
      </c>
      <c r="CJ23" s="6">
        <v>0.0</v>
      </c>
      <c r="CK23" s="6">
        <v>0.0</v>
      </c>
      <c r="CL23" s="6">
        <v>0.0</v>
      </c>
      <c r="CM23" s="7">
        <v>0.0</v>
      </c>
      <c r="CN23" s="6">
        <v>0.0</v>
      </c>
      <c r="CO23" s="6">
        <v>0.0</v>
      </c>
      <c r="CP23" s="6">
        <v>0.0</v>
      </c>
      <c r="CQ23" s="6">
        <v>0.0</v>
      </c>
      <c r="CR23" s="6">
        <v>0.0</v>
      </c>
      <c r="CS23" s="6">
        <v>0.0</v>
      </c>
      <c r="CT23" s="6">
        <v>0.0</v>
      </c>
      <c r="CU23" s="6">
        <v>0.0</v>
      </c>
      <c r="CV23" s="6">
        <v>0.0</v>
      </c>
      <c r="CW23" s="6">
        <v>0.0</v>
      </c>
      <c r="CX23" s="6">
        <v>0.0</v>
      </c>
      <c r="CY23" s="6">
        <v>0.0</v>
      </c>
      <c r="CZ23" s="6">
        <v>0.0</v>
      </c>
      <c r="DA23" s="6">
        <v>0.0</v>
      </c>
      <c r="DB23" s="7">
        <v>0.0</v>
      </c>
      <c r="DC23" s="6">
        <v>0.0</v>
      </c>
      <c r="DD23" s="6">
        <v>0.0</v>
      </c>
      <c r="DE23" s="6">
        <v>0.0</v>
      </c>
      <c r="DF23" s="6">
        <v>0.0</v>
      </c>
      <c r="DG23" s="6">
        <v>0.0</v>
      </c>
      <c r="DH23" s="6">
        <v>0.0</v>
      </c>
      <c r="DI23" s="6">
        <v>0.0</v>
      </c>
      <c r="DJ23" s="6">
        <v>0.0</v>
      </c>
      <c r="DK23" s="6">
        <v>0.0</v>
      </c>
      <c r="DL23" s="6">
        <v>0.0</v>
      </c>
      <c r="DM23" s="6">
        <v>0.0</v>
      </c>
      <c r="DN23" s="6">
        <v>0.0</v>
      </c>
      <c r="DO23" s="6">
        <v>0.0</v>
      </c>
      <c r="DP23" s="6">
        <v>0.0</v>
      </c>
      <c r="DQ23" s="7">
        <v>0.0</v>
      </c>
    </row>
    <row r="24">
      <c r="B24" s="8" t="s">
        <v>23</v>
      </c>
      <c r="C24" s="6">
        <v>0.0</v>
      </c>
      <c r="D24" s="6">
        <v>0.0</v>
      </c>
      <c r="E24" s="6">
        <v>1.0</v>
      </c>
      <c r="F24" s="6">
        <v>1.0</v>
      </c>
      <c r="G24" s="6">
        <v>1.0</v>
      </c>
      <c r="H24" s="6">
        <v>0.0</v>
      </c>
      <c r="I24" s="7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7">
        <v>0.0</v>
      </c>
      <c r="R24" s="6">
        <v>1.0</v>
      </c>
      <c r="S24" s="6">
        <v>0.0</v>
      </c>
      <c r="T24" s="6">
        <v>0.0</v>
      </c>
      <c r="U24" s="6">
        <v>0.0</v>
      </c>
      <c r="V24" s="6">
        <v>1.0</v>
      </c>
      <c r="W24" s="6">
        <v>1.0</v>
      </c>
      <c r="X24" s="6">
        <v>1.0</v>
      </c>
      <c r="Y24" s="6">
        <v>0.0</v>
      </c>
      <c r="Z24" s="7">
        <v>1.0</v>
      </c>
      <c r="AA24" s="6">
        <v>1.0</v>
      </c>
      <c r="AB24" s="6">
        <v>0.0</v>
      </c>
      <c r="AC24" s="6">
        <v>0.0</v>
      </c>
      <c r="AD24" s="6">
        <v>0.0</v>
      </c>
      <c r="AE24" s="6">
        <v>1.0</v>
      </c>
      <c r="AF24" s="6">
        <v>0.0</v>
      </c>
      <c r="AG24" s="6">
        <v>1.0</v>
      </c>
      <c r="AH24" s="7">
        <v>0.0</v>
      </c>
      <c r="AI24" s="6">
        <v>0.0</v>
      </c>
      <c r="AJ24" s="6">
        <v>0.0</v>
      </c>
      <c r="AK24" s="6">
        <v>1.0</v>
      </c>
      <c r="AL24" s="6">
        <v>1.0</v>
      </c>
      <c r="AM24" s="6">
        <v>1.0</v>
      </c>
      <c r="AN24" s="6">
        <v>0.0</v>
      </c>
      <c r="AO24" s="6">
        <v>1.0</v>
      </c>
      <c r="AP24" s="7">
        <v>1.0</v>
      </c>
      <c r="AQ24" s="6">
        <v>0.0</v>
      </c>
      <c r="AR24" s="6">
        <v>0.0</v>
      </c>
      <c r="AS24" s="6">
        <v>1.0</v>
      </c>
      <c r="AT24" s="6">
        <v>0.0</v>
      </c>
      <c r="AU24" s="6">
        <v>0.0</v>
      </c>
      <c r="AV24" s="6">
        <v>0.0</v>
      </c>
      <c r="AW24" s="6">
        <v>1.0</v>
      </c>
      <c r="AX24" s="7">
        <v>1.0</v>
      </c>
      <c r="AY24" s="6">
        <v>0.0</v>
      </c>
      <c r="AZ24" s="6">
        <v>0.0</v>
      </c>
      <c r="BA24" s="6">
        <v>0.0</v>
      </c>
      <c r="BB24" s="6">
        <v>1.0</v>
      </c>
      <c r="BC24" s="6">
        <v>0.0</v>
      </c>
      <c r="BD24" s="6">
        <v>0.0</v>
      </c>
      <c r="BE24" s="6">
        <v>0.0</v>
      </c>
      <c r="BF24" s="6">
        <v>1.0</v>
      </c>
      <c r="BG24" s="6">
        <v>0.0</v>
      </c>
      <c r="BH24" s="6">
        <v>0.0</v>
      </c>
      <c r="BI24" s="7">
        <v>0.0</v>
      </c>
      <c r="BJ24" s="6">
        <v>1.0</v>
      </c>
      <c r="BK24" s="6">
        <v>1.0</v>
      </c>
      <c r="BL24" s="6">
        <v>0.0</v>
      </c>
      <c r="BM24" s="6">
        <v>0.0</v>
      </c>
      <c r="BN24" s="6">
        <v>0.0</v>
      </c>
      <c r="BO24" s="7">
        <v>0.0</v>
      </c>
      <c r="BP24" s="6">
        <v>1.0</v>
      </c>
      <c r="BQ24" s="6">
        <v>0.0</v>
      </c>
      <c r="BR24" s="6">
        <v>1.0</v>
      </c>
      <c r="BS24" s="6">
        <v>0.0</v>
      </c>
      <c r="BT24" s="6">
        <v>0.0</v>
      </c>
      <c r="BU24" s="6">
        <v>0.0</v>
      </c>
      <c r="BV24" s="7">
        <v>1.0</v>
      </c>
      <c r="BW24" s="6">
        <v>0.0</v>
      </c>
      <c r="BX24" s="6">
        <v>0.0</v>
      </c>
      <c r="BY24" s="6">
        <v>0.0</v>
      </c>
      <c r="BZ24" s="6">
        <v>0.0</v>
      </c>
      <c r="CA24" s="6">
        <v>0.0</v>
      </c>
      <c r="CB24" s="6">
        <v>1.0</v>
      </c>
      <c r="CC24" s="6">
        <v>1.0</v>
      </c>
      <c r="CD24" s="6">
        <v>0.0</v>
      </c>
      <c r="CE24" s="6">
        <v>0.0</v>
      </c>
      <c r="CF24" s="6">
        <v>0.0</v>
      </c>
      <c r="CG24" s="6">
        <v>0.0</v>
      </c>
      <c r="CH24" s="6">
        <v>0.0</v>
      </c>
      <c r="CI24" s="6">
        <v>0.0</v>
      </c>
      <c r="CJ24" s="6">
        <v>0.0</v>
      </c>
      <c r="CK24" s="6">
        <v>0.0</v>
      </c>
      <c r="CL24" s="6">
        <v>0.0</v>
      </c>
      <c r="CM24" s="7">
        <v>0.0</v>
      </c>
      <c r="CN24" s="6">
        <v>0.0</v>
      </c>
      <c r="CO24" s="6">
        <v>0.0</v>
      </c>
      <c r="CP24" s="6">
        <v>0.0</v>
      </c>
      <c r="CQ24" s="6">
        <v>0.0</v>
      </c>
      <c r="CR24" s="6">
        <v>0.0</v>
      </c>
      <c r="CS24" s="6">
        <v>0.0</v>
      </c>
      <c r="CT24" s="6">
        <v>0.0</v>
      </c>
      <c r="CU24" s="6">
        <v>0.0</v>
      </c>
      <c r="CV24" s="6">
        <v>0.0</v>
      </c>
      <c r="CW24" s="6">
        <v>0.0</v>
      </c>
      <c r="CX24" s="6">
        <v>0.0</v>
      </c>
      <c r="CY24" s="6">
        <v>0.0</v>
      </c>
      <c r="CZ24" s="6">
        <v>0.0</v>
      </c>
      <c r="DA24" s="6">
        <v>0.0</v>
      </c>
      <c r="DB24" s="7">
        <v>0.0</v>
      </c>
      <c r="DC24" s="6">
        <v>0.0</v>
      </c>
      <c r="DD24" s="6">
        <v>0.0</v>
      </c>
      <c r="DE24" s="6">
        <v>0.0</v>
      </c>
      <c r="DF24" s="6">
        <v>0.0</v>
      </c>
      <c r="DG24" s="6">
        <v>0.0</v>
      </c>
      <c r="DH24" s="6">
        <v>0.0</v>
      </c>
      <c r="DI24" s="6">
        <v>0.0</v>
      </c>
      <c r="DJ24" s="6">
        <v>0.0</v>
      </c>
      <c r="DK24" s="6">
        <v>0.0</v>
      </c>
      <c r="DL24" s="6">
        <v>1.0</v>
      </c>
      <c r="DM24" s="6">
        <v>1.0</v>
      </c>
      <c r="DN24" s="6">
        <v>0.0</v>
      </c>
      <c r="DO24" s="6">
        <v>0.0</v>
      </c>
      <c r="DP24" s="6">
        <v>1.0</v>
      </c>
      <c r="DQ24" s="7">
        <v>0.0</v>
      </c>
    </row>
    <row r="25">
      <c r="B25" s="8" t="s">
        <v>24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7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0.0</v>
      </c>
      <c r="Y25" s="6">
        <v>0.0</v>
      </c>
      <c r="Z25" s="7">
        <v>0.0</v>
      </c>
      <c r="AA25" s="6">
        <v>0.0</v>
      </c>
      <c r="AB25" s="6">
        <v>0.0</v>
      </c>
      <c r="AC25" s="6">
        <v>0.0</v>
      </c>
      <c r="AD25" s="6">
        <v>0.0</v>
      </c>
      <c r="AE25" s="6">
        <v>0.0</v>
      </c>
      <c r="AF25" s="6">
        <v>0.0</v>
      </c>
      <c r="AG25" s="6">
        <v>0.0</v>
      </c>
      <c r="AH25" s="7">
        <v>0.0</v>
      </c>
      <c r="AI25" s="6">
        <v>0.0</v>
      </c>
      <c r="AJ25" s="6">
        <v>0.0</v>
      </c>
      <c r="AK25" s="6">
        <v>0.0</v>
      </c>
      <c r="AL25" s="6">
        <v>0.0</v>
      </c>
      <c r="AM25" s="6">
        <v>0.0</v>
      </c>
      <c r="AN25" s="6">
        <v>0.0</v>
      </c>
      <c r="AO25" s="6">
        <v>0.0</v>
      </c>
      <c r="AP25" s="7">
        <v>0.0</v>
      </c>
      <c r="AQ25" s="6">
        <v>0.0</v>
      </c>
      <c r="AR25" s="6">
        <v>0.0</v>
      </c>
      <c r="AS25" s="6">
        <v>0.0</v>
      </c>
      <c r="AT25" s="6">
        <v>0.0</v>
      </c>
      <c r="AU25" s="6">
        <v>0.0</v>
      </c>
      <c r="AV25" s="6">
        <v>0.0</v>
      </c>
      <c r="AW25" s="6">
        <v>0.0</v>
      </c>
      <c r="AX25" s="7">
        <v>0.0</v>
      </c>
      <c r="AY25" s="6">
        <v>0.0</v>
      </c>
      <c r="AZ25" s="6">
        <v>0.0</v>
      </c>
      <c r="BA25" s="6">
        <v>0.0</v>
      </c>
      <c r="BB25" s="6">
        <v>0.0</v>
      </c>
      <c r="BC25" s="6">
        <v>0.0</v>
      </c>
      <c r="BD25" s="6">
        <v>0.0</v>
      </c>
      <c r="BE25" s="6">
        <v>0.0</v>
      </c>
      <c r="BF25" s="6">
        <v>0.0</v>
      </c>
      <c r="BG25" s="6">
        <v>0.0</v>
      </c>
      <c r="BH25" s="6">
        <v>0.0</v>
      </c>
      <c r="BI25" s="7">
        <v>0.0</v>
      </c>
      <c r="BJ25" s="6">
        <v>0.0</v>
      </c>
      <c r="BK25" s="6">
        <v>0.0</v>
      </c>
      <c r="BL25" s="6">
        <v>0.0</v>
      </c>
      <c r="BM25" s="6">
        <v>0.0</v>
      </c>
      <c r="BN25" s="6">
        <v>0.0</v>
      </c>
      <c r="BO25" s="7">
        <v>0.0</v>
      </c>
      <c r="BP25" s="6">
        <v>0.0</v>
      </c>
      <c r="BQ25" s="6">
        <v>0.0</v>
      </c>
      <c r="BR25" s="6">
        <v>0.0</v>
      </c>
      <c r="BS25" s="6">
        <v>0.0</v>
      </c>
      <c r="BT25" s="6">
        <v>0.0</v>
      </c>
      <c r="BU25" s="6">
        <v>0.0</v>
      </c>
      <c r="BV25" s="7">
        <v>0.0</v>
      </c>
      <c r="BW25" s="6">
        <v>0.0</v>
      </c>
      <c r="BX25" s="6">
        <v>0.0</v>
      </c>
      <c r="BY25" s="6">
        <v>0.0</v>
      </c>
      <c r="BZ25" s="6">
        <v>0.0</v>
      </c>
      <c r="CA25" s="6">
        <v>0.0</v>
      </c>
      <c r="CB25" s="6">
        <v>0.0</v>
      </c>
      <c r="CC25" s="6">
        <v>0.0</v>
      </c>
      <c r="CD25" s="6">
        <v>0.0</v>
      </c>
      <c r="CE25" s="6">
        <v>0.0</v>
      </c>
      <c r="CF25" s="6">
        <v>0.0</v>
      </c>
      <c r="CG25" s="6">
        <v>0.0</v>
      </c>
      <c r="CH25" s="6">
        <v>0.0</v>
      </c>
      <c r="CI25" s="6">
        <v>0.0</v>
      </c>
      <c r="CJ25" s="6">
        <v>0.0</v>
      </c>
      <c r="CK25" s="6">
        <v>0.0</v>
      </c>
      <c r="CL25" s="6">
        <v>0.0</v>
      </c>
      <c r="CM25" s="7">
        <v>0.0</v>
      </c>
      <c r="CN25" s="6">
        <v>0.0</v>
      </c>
      <c r="CO25" s="6">
        <v>0.0</v>
      </c>
      <c r="CP25" s="6">
        <v>0.0</v>
      </c>
      <c r="CQ25" s="6">
        <v>0.0</v>
      </c>
      <c r="CR25" s="6">
        <v>0.0</v>
      </c>
      <c r="CS25" s="6">
        <v>0.0</v>
      </c>
      <c r="CT25" s="6">
        <v>0.0</v>
      </c>
      <c r="CU25" s="6">
        <v>0.0</v>
      </c>
      <c r="CV25" s="6">
        <v>0.0</v>
      </c>
      <c r="CW25" s="6">
        <v>0.0</v>
      </c>
      <c r="CX25" s="6">
        <v>0.0</v>
      </c>
      <c r="CY25" s="6">
        <v>0.0</v>
      </c>
      <c r="CZ25" s="6">
        <v>0.0</v>
      </c>
      <c r="DA25" s="6">
        <v>0.0</v>
      </c>
      <c r="DB25" s="7">
        <v>0.0</v>
      </c>
      <c r="DC25" s="6">
        <v>0.0</v>
      </c>
      <c r="DD25" s="6">
        <v>0.0</v>
      </c>
      <c r="DE25" s="6">
        <v>0.0</v>
      </c>
      <c r="DF25" s="6">
        <v>0.0</v>
      </c>
      <c r="DG25" s="6">
        <v>0.0</v>
      </c>
      <c r="DH25" s="6">
        <v>0.0</v>
      </c>
      <c r="DI25" s="6">
        <v>0.0</v>
      </c>
      <c r="DJ25" s="6">
        <v>0.0</v>
      </c>
      <c r="DK25" s="6">
        <v>0.0</v>
      </c>
      <c r="DL25" s="6">
        <v>0.0</v>
      </c>
      <c r="DM25" s="6">
        <v>0.0</v>
      </c>
      <c r="DN25" s="6">
        <v>0.0</v>
      </c>
      <c r="DO25" s="6">
        <v>0.0</v>
      </c>
      <c r="DP25" s="6">
        <v>0.0</v>
      </c>
      <c r="DQ25" s="7">
        <v>0.0</v>
      </c>
    </row>
    <row r="26">
      <c r="B26" s="8" t="s">
        <v>25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7">
        <v>0.0</v>
      </c>
      <c r="R26" s="6">
        <v>0.0</v>
      </c>
      <c r="S26" s="6">
        <v>1.0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7">
        <v>0.0</v>
      </c>
      <c r="AA26" s="6">
        <v>0.0</v>
      </c>
      <c r="AB26" s="6">
        <v>0.0</v>
      </c>
      <c r="AC26" s="6">
        <v>0.0</v>
      </c>
      <c r="AD26" s="6">
        <v>0.0</v>
      </c>
      <c r="AE26" s="6">
        <v>0.0</v>
      </c>
      <c r="AF26" s="6">
        <v>0.0</v>
      </c>
      <c r="AG26" s="6">
        <v>0.0</v>
      </c>
      <c r="AH26" s="7">
        <v>0.0</v>
      </c>
      <c r="AI26" s="6">
        <v>0.0</v>
      </c>
      <c r="AJ26" s="6">
        <v>0.0</v>
      </c>
      <c r="AK26" s="6">
        <v>0.0</v>
      </c>
      <c r="AL26" s="6">
        <v>0.0</v>
      </c>
      <c r="AM26" s="6">
        <v>0.0</v>
      </c>
      <c r="AN26" s="6">
        <v>0.0</v>
      </c>
      <c r="AO26" s="6">
        <v>0.0</v>
      </c>
      <c r="AP26" s="7">
        <v>0.0</v>
      </c>
      <c r="AQ26" s="6">
        <v>0.0</v>
      </c>
      <c r="AR26" s="6">
        <v>0.0</v>
      </c>
      <c r="AS26" s="6">
        <v>0.0</v>
      </c>
      <c r="AT26" s="6">
        <v>0.0</v>
      </c>
      <c r="AU26" s="6">
        <v>0.0</v>
      </c>
      <c r="AV26" s="6">
        <v>0.0</v>
      </c>
      <c r="AW26" s="6">
        <v>0.0</v>
      </c>
      <c r="AX26" s="7">
        <v>0.0</v>
      </c>
      <c r="AY26" s="6">
        <v>0.0</v>
      </c>
      <c r="AZ26" s="6">
        <v>0.0</v>
      </c>
      <c r="BA26" s="6">
        <v>0.0</v>
      </c>
      <c r="BB26" s="6">
        <v>0.0</v>
      </c>
      <c r="BC26" s="6">
        <v>0.0</v>
      </c>
      <c r="BD26" s="6">
        <v>0.0</v>
      </c>
      <c r="BE26" s="6">
        <v>0.0</v>
      </c>
      <c r="BF26" s="6">
        <v>0.0</v>
      </c>
      <c r="BG26" s="6">
        <v>0.0</v>
      </c>
      <c r="BH26" s="6">
        <v>0.0</v>
      </c>
      <c r="BI26" s="7">
        <v>0.0</v>
      </c>
      <c r="BJ26" s="6">
        <v>0.0</v>
      </c>
      <c r="BK26" s="6">
        <v>0.0</v>
      </c>
      <c r="BL26" s="6">
        <v>0.0</v>
      </c>
      <c r="BM26" s="6">
        <v>0.0</v>
      </c>
      <c r="BN26" s="6">
        <v>0.0</v>
      </c>
      <c r="BO26" s="7">
        <v>0.0</v>
      </c>
      <c r="BP26" s="6">
        <v>0.0</v>
      </c>
      <c r="BQ26" s="6">
        <v>0.0</v>
      </c>
      <c r="BR26" s="6">
        <v>0.0</v>
      </c>
      <c r="BS26" s="6">
        <v>0.0</v>
      </c>
      <c r="BT26" s="6">
        <v>0.0</v>
      </c>
      <c r="BU26" s="6">
        <v>0.0</v>
      </c>
      <c r="BV26" s="7">
        <v>0.0</v>
      </c>
      <c r="BW26" s="6">
        <v>0.0</v>
      </c>
      <c r="BX26" s="6">
        <v>0.0</v>
      </c>
      <c r="BY26" s="6">
        <v>0.0</v>
      </c>
      <c r="BZ26" s="6">
        <v>0.0</v>
      </c>
      <c r="CA26" s="6">
        <v>0.0</v>
      </c>
      <c r="CB26" s="6">
        <v>0.0</v>
      </c>
      <c r="CC26" s="6">
        <v>0.0</v>
      </c>
      <c r="CD26" s="6">
        <v>0.0</v>
      </c>
      <c r="CE26" s="6">
        <v>0.0</v>
      </c>
      <c r="CF26" s="6">
        <v>0.0</v>
      </c>
      <c r="CG26" s="6">
        <v>0.0</v>
      </c>
      <c r="CH26" s="6">
        <v>0.0</v>
      </c>
      <c r="CI26" s="6">
        <v>0.0</v>
      </c>
      <c r="CJ26" s="6">
        <v>0.0</v>
      </c>
      <c r="CK26" s="6">
        <v>0.0</v>
      </c>
      <c r="CL26" s="6">
        <v>0.0</v>
      </c>
      <c r="CM26" s="7">
        <v>0.0</v>
      </c>
      <c r="CN26" s="6">
        <v>0.0</v>
      </c>
      <c r="CO26" s="6">
        <v>0.0</v>
      </c>
      <c r="CP26" s="6">
        <v>0.0</v>
      </c>
      <c r="CQ26" s="6">
        <v>0.0</v>
      </c>
      <c r="CR26" s="6">
        <v>0.0</v>
      </c>
      <c r="CS26" s="6">
        <v>0.0</v>
      </c>
      <c r="CT26" s="6">
        <v>0.0</v>
      </c>
      <c r="CU26" s="6">
        <v>0.0</v>
      </c>
      <c r="CV26" s="6">
        <v>0.0</v>
      </c>
      <c r="CW26" s="6">
        <v>0.0</v>
      </c>
      <c r="CX26" s="6">
        <v>0.0</v>
      </c>
      <c r="CY26" s="6">
        <v>0.0</v>
      </c>
      <c r="CZ26" s="6">
        <v>0.0</v>
      </c>
      <c r="DA26" s="6">
        <v>0.0</v>
      </c>
      <c r="DB26" s="7">
        <v>0.0</v>
      </c>
      <c r="DC26" s="6">
        <v>0.0</v>
      </c>
      <c r="DD26" s="6">
        <v>0.0</v>
      </c>
      <c r="DE26" s="6">
        <v>0.0</v>
      </c>
      <c r="DF26" s="6">
        <v>0.0</v>
      </c>
      <c r="DG26" s="6">
        <v>1.0</v>
      </c>
      <c r="DH26" s="6">
        <v>0.0</v>
      </c>
      <c r="DI26" s="6">
        <v>0.0</v>
      </c>
      <c r="DJ26" s="6">
        <v>0.0</v>
      </c>
      <c r="DK26" s="6">
        <v>0.0</v>
      </c>
      <c r="DL26" s="6">
        <v>0.0</v>
      </c>
      <c r="DM26" s="6">
        <v>0.0</v>
      </c>
      <c r="DN26" s="6">
        <v>0.0</v>
      </c>
      <c r="DO26" s="6">
        <v>0.0</v>
      </c>
      <c r="DP26" s="6">
        <v>0.0</v>
      </c>
      <c r="DQ26" s="7">
        <v>0.0</v>
      </c>
    </row>
    <row r="27">
      <c r="B27" s="8" t="s">
        <v>26</v>
      </c>
      <c r="C27" s="6">
        <v>0.0</v>
      </c>
      <c r="D27" s="6">
        <v>0.0</v>
      </c>
      <c r="E27" s="6">
        <v>1.0</v>
      </c>
      <c r="F27" s="6">
        <v>0.0</v>
      </c>
      <c r="G27" s="6">
        <v>1.0</v>
      </c>
      <c r="H27" s="6">
        <v>0.0</v>
      </c>
      <c r="I27" s="7">
        <v>1.0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7">
        <v>0.0</v>
      </c>
      <c r="R27" s="6">
        <v>1.0</v>
      </c>
      <c r="S27" s="6">
        <v>1.0</v>
      </c>
      <c r="T27" s="6">
        <v>0.0</v>
      </c>
      <c r="U27" s="6">
        <v>0.0</v>
      </c>
      <c r="V27" s="6">
        <v>0.0</v>
      </c>
      <c r="W27" s="6">
        <v>1.0</v>
      </c>
      <c r="X27" s="6">
        <v>0.0</v>
      </c>
      <c r="Y27" s="6">
        <v>1.0</v>
      </c>
      <c r="Z27" s="7">
        <v>1.0</v>
      </c>
      <c r="AA27" s="6">
        <v>0.0</v>
      </c>
      <c r="AB27" s="6">
        <v>1.0</v>
      </c>
      <c r="AC27" s="6">
        <v>1.0</v>
      </c>
      <c r="AD27" s="6">
        <v>0.0</v>
      </c>
      <c r="AE27" s="6">
        <v>0.0</v>
      </c>
      <c r="AF27" s="6">
        <v>0.0</v>
      </c>
      <c r="AG27" s="6">
        <v>0.0</v>
      </c>
      <c r="AH27" s="7">
        <v>0.0</v>
      </c>
      <c r="AI27" s="6">
        <v>0.0</v>
      </c>
      <c r="AJ27" s="6">
        <v>0.0</v>
      </c>
      <c r="AK27" s="6">
        <v>0.0</v>
      </c>
      <c r="AL27" s="6">
        <v>0.0</v>
      </c>
      <c r="AM27" s="6">
        <v>1.0</v>
      </c>
      <c r="AN27" s="6">
        <v>0.0</v>
      </c>
      <c r="AO27" s="6">
        <v>0.0</v>
      </c>
      <c r="AP27" s="7">
        <v>0.0</v>
      </c>
      <c r="AQ27" s="6">
        <v>0.0</v>
      </c>
      <c r="AR27" s="6">
        <v>0.0</v>
      </c>
      <c r="AS27" s="6">
        <v>1.0</v>
      </c>
      <c r="AT27" s="6">
        <v>0.0</v>
      </c>
      <c r="AU27" s="6">
        <v>0.0</v>
      </c>
      <c r="AV27" s="6">
        <v>0.0</v>
      </c>
      <c r="AW27" s="6">
        <v>1.0</v>
      </c>
      <c r="AX27" s="7">
        <v>0.0</v>
      </c>
      <c r="AY27" s="6">
        <v>0.0</v>
      </c>
      <c r="AZ27" s="6">
        <v>0.0</v>
      </c>
      <c r="BA27" s="6">
        <v>0.0</v>
      </c>
      <c r="BB27" s="6">
        <v>1.0</v>
      </c>
      <c r="BC27" s="6">
        <v>1.0</v>
      </c>
      <c r="BD27" s="6">
        <v>1.0</v>
      </c>
      <c r="BE27" s="6">
        <v>0.0</v>
      </c>
      <c r="BF27" s="6">
        <v>0.0</v>
      </c>
      <c r="BG27" s="6">
        <v>0.0</v>
      </c>
      <c r="BH27" s="6">
        <v>0.0</v>
      </c>
      <c r="BI27" s="7">
        <v>0.0</v>
      </c>
      <c r="BJ27" s="6">
        <v>0.0</v>
      </c>
      <c r="BK27" s="6">
        <v>1.0</v>
      </c>
      <c r="BL27" s="6">
        <v>0.0</v>
      </c>
      <c r="BM27" s="6">
        <v>0.0</v>
      </c>
      <c r="BN27" s="6">
        <v>0.0</v>
      </c>
      <c r="BO27" s="7">
        <v>0.0</v>
      </c>
      <c r="BP27" s="6">
        <v>1.0</v>
      </c>
      <c r="BQ27" s="6">
        <v>0.0</v>
      </c>
      <c r="BR27" s="6">
        <v>1.0</v>
      </c>
      <c r="BS27" s="6">
        <v>1.0</v>
      </c>
      <c r="BT27" s="6">
        <v>1.0</v>
      </c>
      <c r="BU27" s="6">
        <v>1.0</v>
      </c>
      <c r="BV27" s="7">
        <v>1.0</v>
      </c>
      <c r="BW27" s="6">
        <v>0.0</v>
      </c>
      <c r="BX27" s="6">
        <v>0.0</v>
      </c>
      <c r="BY27" s="6">
        <v>0.0</v>
      </c>
      <c r="BZ27" s="6">
        <v>0.0</v>
      </c>
      <c r="CA27" s="6">
        <v>1.0</v>
      </c>
      <c r="CB27" s="6">
        <v>1.0</v>
      </c>
      <c r="CC27" s="6">
        <v>1.0</v>
      </c>
      <c r="CD27" s="6">
        <v>1.0</v>
      </c>
      <c r="CE27" s="6">
        <v>0.0</v>
      </c>
      <c r="CF27" s="6">
        <v>0.0</v>
      </c>
      <c r="CG27" s="6">
        <v>1.0</v>
      </c>
      <c r="CH27" s="6">
        <v>0.0</v>
      </c>
      <c r="CI27" s="6">
        <v>1.0</v>
      </c>
      <c r="CJ27" s="6">
        <v>1.0</v>
      </c>
      <c r="CK27" s="6">
        <v>0.0</v>
      </c>
      <c r="CL27" s="6">
        <v>1.0</v>
      </c>
      <c r="CM27" s="7">
        <v>0.0</v>
      </c>
      <c r="CN27" s="6">
        <v>1.0</v>
      </c>
      <c r="CO27" s="6">
        <v>0.0</v>
      </c>
      <c r="CP27" s="6">
        <v>0.0</v>
      </c>
      <c r="CQ27" s="6">
        <v>0.0</v>
      </c>
      <c r="CR27" s="6">
        <v>1.0</v>
      </c>
      <c r="CS27" s="6">
        <v>0.0</v>
      </c>
      <c r="CT27" s="6">
        <v>1.0</v>
      </c>
      <c r="CU27" s="6">
        <v>0.0</v>
      </c>
      <c r="CV27" s="6">
        <v>0.0</v>
      </c>
      <c r="CW27" s="6">
        <v>0.0</v>
      </c>
      <c r="CX27" s="6">
        <v>1.0</v>
      </c>
      <c r="CY27" s="6">
        <v>0.0</v>
      </c>
      <c r="CZ27" s="6">
        <v>0.0</v>
      </c>
      <c r="DA27" s="6">
        <v>1.0</v>
      </c>
      <c r="DB27" s="7">
        <v>1.0</v>
      </c>
      <c r="DC27" s="6">
        <v>0.0</v>
      </c>
      <c r="DD27" s="6">
        <v>0.0</v>
      </c>
      <c r="DE27" s="6">
        <v>0.0</v>
      </c>
      <c r="DF27" s="6">
        <v>0.0</v>
      </c>
      <c r="DG27" s="6">
        <v>1.0</v>
      </c>
      <c r="DH27" s="6">
        <v>0.0</v>
      </c>
      <c r="DI27" s="6">
        <v>0.0</v>
      </c>
      <c r="DJ27" s="6">
        <v>1.0</v>
      </c>
      <c r="DK27" s="6">
        <v>0.0</v>
      </c>
      <c r="DL27" s="6">
        <v>0.0</v>
      </c>
      <c r="DM27" s="6">
        <v>0.0</v>
      </c>
      <c r="DN27" s="6">
        <v>0.0</v>
      </c>
      <c r="DO27" s="6">
        <v>1.0</v>
      </c>
      <c r="DP27" s="6">
        <v>0.0</v>
      </c>
      <c r="DQ27" s="7">
        <v>0.0</v>
      </c>
    </row>
    <row r="28">
      <c r="B28" s="9" t="s">
        <v>27</v>
      </c>
      <c r="C28" s="6">
        <v>1.0</v>
      </c>
      <c r="D28" s="6">
        <v>0.0</v>
      </c>
      <c r="E28" s="6">
        <v>0.0</v>
      </c>
      <c r="F28" s="6">
        <v>1.0</v>
      </c>
      <c r="G28" s="6">
        <v>0.0</v>
      </c>
      <c r="H28" s="6">
        <v>0.0</v>
      </c>
      <c r="I28" s="7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1.0</v>
      </c>
      <c r="Q28" s="7">
        <v>0.0</v>
      </c>
      <c r="R28" s="6">
        <v>1.0</v>
      </c>
      <c r="S28" s="6">
        <v>0.0</v>
      </c>
      <c r="T28" s="6">
        <v>0.0</v>
      </c>
      <c r="U28" s="6">
        <v>0.0</v>
      </c>
      <c r="V28" s="6">
        <v>1.0</v>
      </c>
      <c r="W28" s="6">
        <v>1.0</v>
      </c>
      <c r="X28" s="6">
        <v>0.0</v>
      </c>
      <c r="Y28" s="6">
        <v>1.0</v>
      </c>
      <c r="Z28" s="7">
        <v>1.0</v>
      </c>
      <c r="AA28" s="6">
        <v>0.0</v>
      </c>
      <c r="AB28" s="6">
        <v>0.0</v>
      </c>
      <c r="AC28" s="6">
        <v>0.0</v>
      </c>
      <c r="AD28" s="6">
        <v>0.0</v>
      </c>
      <c r="AE28" s="6">
        <v>1.0</v>
      </c>
      <c r="AF28" s="6">
        <v>0.0</v>
      </c>
      <c r="AG28" s="6">
        <v>0.0</v>
      </c>
      <c r="AH28" s="7">
        <v>0.0</v>
      </c>
      <c r="AI28" s="6">
        <v>0.0</v>
      </c>
      <c r="AJ28" s="6">
        <v>0.0</v>
      </c>
      <c r="AK28" s="6">
        <v>1.0</v>
      </c>
      <c r="AL28" s="6">
        <v>0.0</v>
      </c>
      <c r="AM28" s="6">
        <v>1.0</v>
      </c>
      <c r="AN28" s="6">
        <v>0.0</v>
      </c>
      <c r="AO28" s="6">
        <v>0.0</v>
      </c>
      <c r="AP28" s="7">
        <v>0.0</v>
      </c>
      <c r="AQ28" s="6">
        <v>0.0</v>
      </c>
      <c r="AR28" s="6">
        <v>0.0</v>
      </c>
      <c r="AS28" s="6">
        <v>0.0</v>
      </c>
      <c r="AT28" s="6">
        <v>0.0</v>
      </c>
      <c r="AU28" s="6">
        <v>0.0</v>
      </c>
      <c r="AV28" s="6">
        <v>0.0</v>
      </c>
      <c r="AW28" s="6">
        <v>0.0</v>
      </c>
      <c r="AX28" s="7">
        <v>0.0</v>
      </c>
      <c r="AY28" s="6">
        <v>0.0</v>
      </c>
      <c r="AZ28" s="6">
        <v>0.0</v>
      </c>
      <c r="BA28" s="6">
        <v>0.0</v>
      </c>
      <c r="BB28" s="6">
        <v>1.0</v>
      </c>
      <c r="BC28" s="6">
        <v>1.0</v>
      </c>
      <c r="BD28" s="6">
        <v>1.0</v>
      </c>
      <c r="BE28" s="6">
        <v>0.0</v>
      </c>
      <c r="BF28" s="6">
        <v>1.0</v>
      </c>
      <c r="BG28" s="6">
        <v>0.0</v>
      </c>
      <c r="BH28" s="6">
        <v>0.0</v>
      </c>
      <c r="BI28" s="7">
        <v>0.0</v>
      </c>
      <c r="BJ28" s="6">
        <v>0.0</v>
      </c>
      <c r="BK28" s="6">
        <v>0.0</v>
      </c>
      <c r="BL28" s="6">
        <v>0.0</v>
      </c>
      <c r="BM28" s="6">
        <v>0.0</v>
      </c>
      <c r="BN28" s="6">
        <v>0.0</v>
      </c>
      <c r="BO28" s="7">
        <v>0.0</v>
      </c>
      <c r="BP28" s="6">
        <v>1.0</v>
      </c>
      <c r="BQ28" s="6">
        <v>1.0</v>
      </c>
      <c r="BR28" s="6">
        <v>1.0</v>
      </c>
      <c r="BS28" s="6">
        <v>1.0</v>
      </c>
      <c r="BT28" s="6">
        <v>0.0</v>
      </c>
      <c r="BU28" s="6">
        <v>0.0</v>
      </c>
      <c r="BV28" s="7">
        <v>1.0</v>
      </c>
      <c r="BW28" s="6">
        <v>0.0</v>
      </c>
      <c r="BX28" s="6">
        <v>0.0</v>
      </c>
      <c r="BY28" s="6">
        <v>0.0</v>
      </c>
      <c r="BZ28" s="6">
        <v>0.0</v>
      </c>
      <c r="CA28" s="6">
        <v>0.0</v>
      </c>
      <c r="CB28" s="6">
        <v>1.0</v>
      </c>
      <c r="CC28" s="6">
        <v>1.0</v>
      </c>
      <c r="CD28" s="6">
        <v>1.0</v>
      </c>
      <c r="CE28" s="6">
        <v>0.0</v>
      </c>
      <c r="CF28" s="6">
        <v>0.0</v>
      </c>
      <c r="CG28" s="6">
        <v>0.0</v>
      </c>
      <c r="CH28" s="6">
        <v>0.0</v>
      </c>
      <c r="CI28" s="6">
        <v>0.0</v>
      </c>
      <c r="CJ28" s="6">
        <v>0.0</v>
      </c>
      <c r="CK28" s="6">
        <v>0.0</v>
      </c>
      <c r="CL28" s="6">
        <v>1.0</v>
      </c>
      <c r="CM28" s="7">
        <v>0.0</v>
      </c>
      <c r="CN28" s="6">
        <v>0.0</v>
      </c>
      <c r="CO28" s="6">
        <v>0.0</v>
      </c>
      <c r="CP28" s="6">
        <v>0.0</v>
      </c>
      <c r="CQ28" s="6">
        <v>0.0</v>
      </c>
      <c r="CR28" s="6">
        <v>0.0</v>
      </c>
      <c r="CS28" s="6">
        <v>0.0</v>
      </c>
      <c r="CT28" s="6">
        <v>0.0</v>
      </c>
      <c r="CU28" s="6">
        <v>0.0</v>
      </c>
      <c r="CV28" s="6">
        <v>0.0</v>
      </c>
      <c r="CW28" s="6">
        <v>0.0</v>
      </c>
      <c r="CX28" s="6">
        <v>0.0</v>
      </c>
      <c r="CY28" s="6">
        <v>0.0</v>
      </c>
      <c r="CZ28" s="6">
        <v>1.0</v>
      </c>
      <c r="DA28" s="6">
        <v>0.0</v>
      </c>
      <c r="DB28" s="7">
        <v>0.0</v>
      </c>
      <c r="DC28" s="6">
        <v>0.0</v>
      </c>
      <c r="DD28" s="6">
        <v>1.0</v>
      </c>
      <c r="DE28" s="6">
        <v>0.0</v>
      </c>
      <c r="DF28" s="6">
        <v>0.0</v>
      </c>
      <c r="DG28" s="6">
        <v>1.0</v>
      </c>
      <c r="DH28" s="6">
        <v>0.0</v>
      </c>
      <c r="DI28" s="6">
        <v>0.0</v>
      </c>
      <c r="DJ28" s="6">
        <v>0.0</v>
      </c>
      <c r="DK28" s="6">
        <v>0.0</v>
      </c>
      <c r="DL28" s="6">
        <v>0.0</v>
      </c>
      <c r="DM28" s="6">
        <v>0.0</v>
      </c>
      <c r="DN28" s="6">
        <v>1.0</v>
      </c>
      <c r="DO28" s="6">
        <v>1.0</v>
      </c>
      <c r="DP28" s="6">
        <v>0.0</v>
      </c>
      <c r="DQ28" s="7">
        <v>0.0</v>
      </c>
    </row>
    <row r="29">
      <c r="B29" s="9" t="s">
        <v>28</v>
      </c>
      <c r="C29" s="6">
        <v>0.0</v>
      </c>
      <c r="D29" s="6">
        <v>0.0</v>
      </c>
      <c r="E29" s="6">
        <v>1.0</v>
      </c>
      <c r="F29" s="6">
        <v>1.0</v>
      </c>
      <c r="G29" s="6">
        <v>0.0</v>
      </c>
      <c r="H29" s="6">
        <v>0.0</v>
      </c>
      <c r="I29" s="7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1.0</v>
      </c>
      <c r="Q29" s="7">
        <v>1.0</v>
      </c>
      <c r="R29" s="6">
        <v>1.0</v>
      </c>
      <c r="S29" s="6">
        <v>0.0</v>
      </c>
      <c r="T29" s="6">
        <v>0.0</v>
      </c>
      <c r="U29" s="6">
        <v>1.0</v>
      </c>
      <c r="V29" s="6">
        <v>1.0</v>
      </c>
      <c r="W29" s="6">
        <v>1.0</v>
      </c>
      <c r="X29" s="6">
        <v>0.0</v>
      </c>
      <c r="Y29" s="6">
        <v>1.0</v>
      </c>
      <c r="Z29" s="7">
        <v>1.0</v>
      </c>
      <c r="AA29" s="6">
        <v>0.0</v>
      </c>
      <c r="AB29" s="6">
        <v>0.0</v>
      </c>
      <c r="AC29" s="6">
        <v>1.0</v>
      </c>
      <c r="AD29" s="6">
        <v>0.0</v>
      </c>
      <c r="AE29" s="6">
        <v>0.0</v>
      </c>
      <c r="AF29" s="6">
        <v>0.0</v>
      </c>
      <c r="AG29" s="6">
        <v>0.0</v>
      </c>
      <c r="AH29" s="7">
        <v>0.0</v>
      </c>
      <c r="AI29" s="6">
        <v>0.0</v>
      </c>
      <c r="AJ29" s="6">
        <v>0.0</v>
      </c>
      <c r="AK29" s="6">
        <v>1.0</v>
      </c>
      <c r="AL29" s="6">
        <v>0.0</v>
      </c>
      <c r="AM29" s="6">
        <v>1.0</v>
      </c>
      <c r="AN29" s="6">
        <v>1.0</v>
      </c>
      <c r="AO29" s="6">
        <v>0.0</v>
      </c>
      <c r="AP29" s="7">
        <v>0.0</v>
      </c>
      <c r="AQ29" s="6">
        <v>0.0</v>
      </c>
      <c r="AR29" s="6">
        <v>0.0</v>
      </c>
      <c r="AS29" s="6">
        <v>0.0</v>
      </c>
      <c r="AT29" s="6">
        <v>0.0</v>
      </c>
      <c r="AU29" s="6">
        <v>0.0</v>
      </c>
      <c r="AV29" s="6">
        <v>0.0</v>
      </c>
      <c r="AW29" s="6">
        <v>0.0</v>
      </c>
      <c r="AX29" s="7">
        <v>0.0</v>
      </c>
      <c r="AY29" s="6">
        <v>0.0</v>
      </c>
      <c r="AZ29" s="6">
        <v>0.0</v>
      </c>
      <c r="BA29" s="6">
        <v>0.0</v>
      </c>
      <c r="BB29" s="6">
        <v>1.0</v>
      </c>
      <c r="BC29" s="6">
        <v>1.0</v>
      </c>
      <c r="BD29" s="6">
        <v>1.0</v>
      </c>
      <c r="BE29" s="6">
        <v>0.0</v>
      </c>
      <c r="BF29" s="6">
        <v>0.0</v>
      </c>
      <c r="BG29" s="6">
        <v>0.0</v>
      </c>
      <c r="BH29" s="6">
        <v>1.0</v>
      </c>
      <c r="BI29" s="7">
        <v>0.0</v>
      </c>
      <c r="BJ29" s="6">
        <v>0.0</v>
      </c>
      <c r="BK29" s="6">
        <v>0.0</v>
      </c>
      <c r="BL29" s="6">
        <v>0.0</v>
      </c>
      <c r="BM29" s="6">
        <v>0.0</v>
      </c>
      <c r="BN29" s="6">
        <v>0.0</v>
      </c>
      <c r="BO29" s="7">
        <v>0.0</v>
      </c>
      <c r="BP29" s="6">
        <v>1.0</v>
      </c>
      <c r="BQ29" s="6">
        <v>1.0</v>
      </c>
      <c r="BR29" s="6">
        <v>1.0</v>
      </c>
      <c r="BS29" s="6">
        <v>0.0</v>
      </c>
      <c r="BT29" s="6">
        <v>0.0</v>
      </c>
      <c r="BU29" s="6">
        <v>0.0</v>
      </c>
      <c r="BV29" s="7">
        <v>0.0</v>
      </c>
      <c r="BW29" s="6">
        <v>1.0</v>
      </c>
      <c r="BX29" s="6">
        <v>0.0</v>
      </c>
      <c r="BY29" s="6">
        <v>0.0</v>
      </c>
      <c r="BZ29" s="6">
        <v>1.0</v>
      </c>
      <c r="CA29" s="6">
        <v>1.0</v>
      </c>
      <c r="CB29" s="6">
        <v>0.0</v>
      </c>
      <c r="CC29" s="6">
        <v>1.0</v>
      </c>
      <c r="CD29" s="6">
        <v>1.0</v>
      </c>
      <c r="CE29" s="6">
        <v>0.0</v>
      </c>
      <c r="CF29" s="6">
        <v>0.0</v>
      </c>
      <c r="CG29" s="6">
        <v>0.0</v>
      </c>
      <c r="CH29" s="6">
        <v>0.0</v>
      </c>
      <c r="CI29" s="6">
        <v>0.0</v>
      </c>
      <c r="CJ29" s="6">
        <v>0.0</v>
      </c>
      <c r="CK29" s="6">
        <v>0.0</v>
      </c>
      <c r="CL29" s="6">
        <v>1.0</v>
      </c>
      <c r="CM29" s="7">
        <v>0.0</v>
      </c>
      <c r="CN29" s="6">
        <v>0.0</v>
      </c>
      <c r="CO29" s="6">
        <v>0.0</v>
      </c>
      <c r="CP29" s="6">
        <v>1.0</v>
      </c>
      <c r="CQ29" s="6">
        <v>0.0</v>
      </c>
      <c r="CR29" s="6">
        <v>0.0</v>
      </c>
      <c r="CS29" s="6">
        <v>0.0</v>
      </c>
      <c r="CT29" s="6">
        <v>1.0</v>
      </c>
      <c r="CU29" s="6">
        <v>0.0</v>
      </c>
      <c r="CV29" s="6">
        <v>0.0</v>
      </c>
      <c r="CW29" s="6">
        <v>0.0</v>
      </c>
      <c r="CX29" s="6">
        <v>0.0</v>
      </c>
      <c r="CY29" s="6">
        <v>0.0</v>
      </c>
      <c r="CZ29" s="6">
        <v>0.0</v>
      </c>
      <c r="DA29" s="6">
        <v>1.0</v>
      </c>
      <c r="DB29" s="7">
        <v>0.0</v>
      </c>
      <c r="DC29" s="6">
        <v>0.0</v>
      </c>
      <c r="DD29" s="6">
        <v>0.0</v>
      </c>
      <c r="DE29" s="6">
        <v>0.0</v>
      </c>
      <c r="DF29" s="6">
        <v>0.0</v>
      </c>
      <c r="DG29" s="6">
        <v>0.0</v>
      </c>
      <c r="DH29" s="6">
        <v>0.0</v>
      </c>
      <c r="DI29" s="6">
        <v>0.0</v>
      </c>
      <c r="DJ29" s="6">
        <v>0.0</v>
      </c>
      <c r="DK29" s="6">
        <v>0.0</v>
      </c>
      <c r="DL29" s="6">
        <v>0.0</v>
      </c>
      <c r="DM29" s="6">
        <v>0.0</v>
      </c>
      <c r="DN29" s="6">
        <v>0.0</v>
      </c>
      <c r="DO29" s="6">
        <v>0.0</v>
      </c>
      <c r="DP29" s="6">
        <v>0.0</v>
      </c>
      <c r="DQ29" s="7">
        <v>0.0</v>
      </c>
    </row>
    <row r="30">
      <c r="B30" s="8" t="s">
        <v>29</v>
      </c>
      <c r="C30" s="6">
        <v>0.0</v>
      </c>
      <c r="D30" s="6">
        <v>0.0</v>
      </c>
      <c r="E30" s="6">
        <v>0.0</v>
      </c>
      <c r="F30" s="6">
        <v>1.0</v>
      </c>
      <c r="G30" s="6">
        <v>1.0</v>
      </c>
      <c r="H30" s="6">
        <v>0.0</v>
      </c>
      <c r="I30" s="7">
        <v>0.0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7">
        <v>0.0</v>
      </c>
      <c r="R30" s="6">
        <v>1.0</v>
      </c>
      <c r="S30" s="6">
        <v>1.0</v>
      </c>
      <c r="T30" s="6">
        <v>0.0</v>
      </c>
      <c r="U30" s="6">
        <v>0.0</v>
      </c>
      <c r="V30" s="6">
        <v>1.0</v>
      </c>
      <c r="W30" s="6">
        <v>1.0</v>
      </c>
      <c r="X30" s="6">
        <v>0.0</v>
      </c>
      <c r="Y30" s="6">
        <v>0.0</v>
      </c>
      <c r="Z30" s="7">
        <v>1.0</v>
      </c>
      <c r="AA30" s="6">
        <v>0.0</v>
      </c>
      <c r="AB30" s="6">
        <v>0.0</v>
      </c>
      <c r="AC30" s="6">
        <v>1.0</v>
      </c>
      <c r="AD30" s="6">
        <v>0.0</v>
      </c>
      <c r="AE30" s="6">
        <v>0.0</v>
      </c>
      <c r="AF30" s="6">
        <v>0.0</v>
      </c>
      <c r="AG30" s="6">
        <v>0.0</v>
      </c>
      <c r="AH30" s="7">
        <v>0.0</v>
      </c>
      <c r="AI30" s="6">
        <v>0.0</v>
      </c>
      <c r="AJ30" s="6">
        <v>0.0</v>
      </c>
      <c r="AK30" s="6">
        <v>1.0</v>
      </c>
      <c r="AL30" s="6">
        <v>0.0</v>
      </c>
      <c r="AM30" s="6">
        <v>1.0</v>
      </c>
      <c r="AN30" s="6">
        <v>0.0</v>
      </c>
      <c r="AO30" s="6">
        <v>0.0</v>
      </c>
      <c r="AP30" s="7">
        <v>1.0</v>
      </c>
      <c r="AQ30" s="6">
        <v>0.0</v>
      </c>
      <c r="AR30" s="6">
        <v>0.0</v>
      </c>
      <c r="AS30" s="6">
        <v>0.0</v>
      </c>
      <c r="AT30" s="6">
        <v>0.0</v>
      </c>
      <c r="AU30" s="6">
        <v>0.0</v>
      </c>
      <c r="AV30" s="6">
        <v>0.0</v>
      </c>
      <c r="AW30" s="6">
        <v>1.0</v>
      </c>
      <c r="AX30" s="7">
        <v>0.0</v>
      </c>
      <c r="AY30" s="6">
        <v>0.0</v>
      </c>
      <c r="AZ30" s="6">
        <v>0.0</v>
      </c>
      <c r="BA30" s="6">
        <v>0.0</v>
      </c>
      <c r="BB30" s="6">
        <v>1.0</v>
      </c>
      <c r="BC30" s="6">
        <v>1.0</v>
      </c>
      <c r="BD30" s="6">
        <v>0.0</v>
      </c>
      <c r="BE30" s="6">
        <v>0.0</v>
      </c>
      <c r="BF30" s="6">
        <v>1.0</v>
      </c>
      <c r="BG30" s="6">
        <v>0.0</v>
      </c>
      <c r="BH30" s="6">
        <v>0.0</v>
      </c>
      <c r="BI30" s="7">
        <v>0.0</v>
      </c>
      <c r="BJ30" s="6">
        <v>0.0</v>
      </c>
      <c r="BK30" s="6">
        <v>0.0</v>
      </c>
      <c r="BL30" s="6">
        <v>0.0</v>
      </c>
      <c r="BM30" s="6">
        <v>0.0</v>
      </c>
      <c r="BN30" s="6">
        <v>0.0</v>
      </c>
      <c r="BO30" s="7">
        <v>0.0</v>
      </c>
      <c r="BP30" s="6">
        <v>0.0</v>
      </c>
      <c r="BQ30" s="6">
        <v>1.0</v>
      </c>
      <c r="BR30" s="6">
        <v>1.0</v>
      </c>
      <c r="BS30" s="6">
        <v>0.0</v>
      </c>
      <c r="BT30" s="6">
        <v>0.0</v>
      </c>
      <c r="BU30" s="6">
        <v>0.0</v>
      </c>
      <c r="BV30" s="7">
        <v>1.0</v>
      </c>
      <c r="BW30" s="6">
        <v>0.0</v>
      </c>
      <c r="BX30" s="6">
        <v>0.0</v>
      </c>
      <c r="BY30" s="6">
        <v>0.0</v>
      </c>
      <c r="BZ30" s="6">
        <v>0.0</v>
      </c>
      <c r="CA30" s="6">
        <v>0.0</v>
      </c>
      <c r="CB30" s="6">
        <v>0.0</v>
      </c>
      <c r="CC30" s="6">
        <v>0.0</v>
      </c>
      <c r="CD30" s="6">
        <v>1.0</v>
      </c>
      <c r="CE30" s="6">
        <v>0.0</v>
      </c>
      <c r="CF30" s="6">
        <v>0.0</v>
      </c>
      <c r="CG30" s="6">
        <v>0.0</v>
      </c>
      <c r="CH30" s="6">
        <v>0.0</v>
      </c>
      <c r="CI30" s="6">
        <v>0.0</v>
      </c>
      <c r="CJ30" s="6">
        <v>0.0</v>
      </c>
      <c r="CK30" s="6">
        <v>0.0</v>
      </c>
      <c r="CL30" s="6">
        <v>0.0</v>
      </c>
      <c r="CM30" s="7">
        <v>0.0</v>
      </c>
      <c r="CN30" s="6">
        <v>0.0</v>
      </c>
      <c r="CO30" s="6">
        <v>0.0</v>
      </c>
      <c r="CP30" s="6">
        <v>0.0</v>
      </c>
      <c r="CQ30" s="6">
        <v>0.0</v>
      </c>
      <c r="CR30" s="6">
        <v>0.0</v>
      </c>
      <c r="CS30" s="6">
        <v>0.0</v>
      </c>
      <c r="CT30" s="6">
        <v>0.0</v>
      </c>
      <c r="CU30" s="6">
        <v>0.0</v>
      </c>
      <c r="CV30" s="6">
        <v>0.0</v>
      </c>
      <c r="CW30" s="6">
        <v>0.0</v>
      </c>
      <c r="CX30" s="6">
        <v>0.0</v>
      </c>
      <c r="CY30" s="6">
        <v>0.0</v>
      </c>
      <c r="CZ30" s="6">
        <v>0.0</v>
      </c>
      <c r="DA30" s="6">
        <v>0.0</v>
      </c>
      <c r="DB30" s="7">
        <v>0.0</v>
      </c>
      <c r="DC30" s="6">
        <v>0.0</v>
      </c>
      <c r="DD30" s="6">
        <v>1.0</v>
      </c>
      <c r="DE30" s="6">
        <v>0.0</v>
      </c>
      <c r="DF30" s="6">
        <v>0.0</v>
      </c>
      <c r="DG30" s="6">
        <v>0.0</v>
      </c>
      <c r="DH30" s="6">
        <v>0.0</v>
      </c>
      <c r="DI30" s="6">
        <v>0.0</v>
      </c>
      <c r="DJ30" s="6">
        <v>0.0</v>
      </c>
      <c r="DK30" s="6">
        <v>0.0</v>
      </c>
      <c r="DL30" s="6">
        <v>0.0</v>
      </c>
      <c r="DM30" s="6">
        <v>0.0</v>
      </c>
      <c r="DN30" s="6">
        <v>0.0</v>
      </c>
      <c r="DO30" s="6">
        <v>0.0</v>
      </c>
      <c r="DP30" s="6">
        <v>0.0</v>
      </c>
      <c r="DQ30" s="7">
        <v>0.0</v>
      </c>
    </row>
    <row r="31">
      <c r="B31" s="8" t="s">
        <v>30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7">
        <v>0.0</v>
      </c>
      <c r="R31" s="6">
        <v>1.0</v>
      </c>
      <c r="S31" s="6">
        <v>1.0</v>
      </c>
      <c r="T31" s="6">
        <v>0.0</v>
      </c>
      <c r="U31" s="6">
        <v>0.0</v>
      </c>
      <c r="V31" s="6">
        <v>1.0</v>
      </c>
      <c r="W31" s="6">
        <v>0.0</v>
      </c>
      <c r="X31" s="6">
        <v>1.0</v>
      </c>
      <c r="Y31" s="6">
        <v>0.0</v>
      </c>
      <c r="Z31" s="7">
        <v>0.0</v>
      </c>
      <c r="AA31" s="6">
        <v>0.0</v>
      </c>
      <c r="AB31" s="6">
        <v>0.0</v>
      </c>
      <c r="AC31" s="6">
        <v>0.0</v>
      </c>
      <c r="AD31" s="6">
        <v>0.0</v>
      </c>
      <c r="AE31" s="6">
        <v>0.0</v>
      </c>
      <c r="AF31" s="6">
        <v>0.0</v>
      </c>
      <c r="AG31" s="6">
        <v>0.0</v>
      </c>
      <c r="AH31" s="7">
        <v>0.0</v>
      </c>
      <c r="AI31" s="6">
        <v>0.0</v>
      </c>
      <c r="AJ31" s="6">
        <v>0.0</v>
      </c>
      <c r="AK31" s="6">
        <v>0.0</v>
      </c>
      <c r="AL31" s="6">
        <v>0.0</v>
      </c>
      <c r="AM31" s="6">
        <v>0.0</v>
      </c>
      <c r="AN31" s="6">
        <v>0.0</v>
      </c>
      <c r="AO31" s="6">
        <v>0.0</v>
      </c>
      <c r="AP31" s="7">
        <v>0.0</v>
      </c>
      <c r="AQ31" s="6">
        <v>0.0</v>
      </c>
      <c r="AR31" s="6">
        <v>0.0</v>
      </c>
      <c r="AS31" s="6">
        <v>0.0</v>
      </c>
      <c r="AT31" s="6">
        <v>0.0</v>
      </c>
      <c r="AU31" s="6">
        <v>0.0</v>
      </c>
      <c r="AV31" s="6">
        <v>0.0</v>
      </c>
      <c r="AW31" s="6">
        <v>0.0</v>
      </c>
      <c r="AX31" s="7">
        <v>0.0</v>
      </c>
      <c r="AY31" s="6">
        <v>0.0</v>
      </c>
      <c r="AZ31" s="6">
        <v>0.0</v>
      </c>
      <c r="BA31" s="6">
        <v>0.0</v>
      </c>
      <c r="BB31" s="6">
        <v>0.0</v>
      </c>
      <c r="BC31" s="6">
        <v>0.0</v>
      </c>
      <c r="BD31" s="6">
        <v>0.0</v>
      </c>
      <c r="BE31" s="6">
        <v>0.0</v>
      </c>
      <c r="BF31" s="6">
        <v>0.0</v>
      </c>
      <c r="BG31" s="6">
        <v>0.0</v>
      </c>
      <c r="BH31" s="6">
        <v>0.0</v>
      </c>
      <c r="BI31" s="7">
        <v>0.0</v>
      </c>
      <c r="BJ31" s="6">
        <v>0.0</v>
      </c>
      <c r="BK31" s="6">
        <v>0.0</v>
      </c>
      <c r="BL31" s="6">
        <v>0.0</v>
      </c>
      <c r="BM31" s="6">
        <v>0.0</v>
      </c>
      <c r="BN31" s="6">
        <v>0.0</v>
      </c>
      <c r="BO31" s="7">
        <v>0.0</v>
      </c>
      <c r="BP31" s="6">
        <v>0.0</v>
      </c>
      <c r="BQ31" s="6">
        <v>0.0</v>
      </c>
      <c r="BR31" s="6">
        <v>0.0</v>
      </c>
      <c r="BS31" s="6">
        <v>1.0</v>
      </c>
      <c r="BT31" s="6">
        <v>0.0</v>
      </c>
      <c r="BU31" s="6">
        <v>0.0</v>
      </c>
      <c r="BV31" s="7">
        <v>1.0</v>
      </c>
      <c r="BW31" s="6">
        <v>1.0</v>
      </c>
      <c r="BX31" s="6">
        <v>1.0</v>
      </c>
      <c r="BY31" s="6">
        <v>0.0</v>
      </c>
      <c r="BZ31" s="6">
        <v>0.0</v>
      </c>
      <c r="CA31" s="6">
        <v>1.0</v>
      </c>
      <c r="CB31" s="6">
        <v>0.0</v>
      </c>
      <c r="CC31" s="6">
        <v>0.0</v>
      </c>
      <c r="CD31" s="6">
        <v>0.0</v>
      </c>
      <c r="CE31" s="6">
        <v>0.0</v>
      </c>
      <c r="CF31" s="6">
        <v>0.0</v>
      </c>
      <c r="CG31" s="6">
        <v>0.0</v>
      </c>
      <c r="CH31" s="6">
        <v>0.0</v>
      </c>
      <c r="CI31" s="6">
        <v>0.0</v>
      </c>
      <c r="CJ31" s="6">
        <v>0.0</v>
      </c>
      <c r="CK31" s="6">
        <v>0.0</v>
      </c>
      <c r="CL31" s="6">
        <v>0.0</v>
      </c>
      <c r="CM31" s="7">
        <v>0.0</v>
      </c>
      <c r="CN31" s="6">
        <v>0.0</v>
      </c>
      <c r="CO31" s="6">
        <v>0.0</v>
      </c>
      <c r="CP31" s="6">
        <v>0.0</v>
      </c>
      <c r="CQ31" s="6">
        <v>0.0</v>
      </c>
      <c r="CR31" s="6">
        <v>0.0</v>
      </c>
      <c r="CS31" s="6">
        <v>0.0</v>
      </c>
      <c r="CT31" s="6">
        <v>0.0</v>
      </c>
      <c r="CU31" s="6">
        <v>0.0</v>
      </c>
      <c r="CV31" s="6">
        <v>0.0</v>
      </c>
      <c r="CW31" s="6">
        <v>0.0</v>
      </c>
      <c r="CX31" s="6">
        <v>0.0</v>
      </c>
      <c r="CY31" s="6">
        <v>0.0</v>
      </c>
      <c r="CZ31" s="6">
        <v>0.0</v>
      </c>
      <c r="DA31" s="6">
        <v>0.0</v>
      </c>
      <c r="DB31" s="7">
        <v>0.0</v>
      </c>
      <c r="DC31" s="6">
        <v>0.0</v>
      </c>
      <c r="DD31" s="6">
        <v>0.0</v>
      </c>
      <c r="DE31" s="6">
        <v>0.0</v>
      </c>
      <c r="DF31" s="6">
        <v>0.0</v>
      </c>
      <c r="DG31" s="6">
        <v>0.0</v>
      </c>
      <c r="DH31" s="6">
        <v>0.0</v>
      </c>
      <c r="DI31" s="6">
        <v>0.0</v>
      </c>
      <c r="DJ31" s="6">
        <v>0.0</v>
      </c>
      <c r="DK31" s="6">
        <v>0.0</v>
      </c>
      <c r="DL31" s="6">
        <v>0.0</v>
      </c>
      <c r="DM31" s="6">
        <v>0.0</v>
      </c>
      <c r="DN31" s="6">
        <v>0.0</v>
      </c>
      <c r="DO31" s="6">
        <v>0.0</v>
      </c>
      <c r="DP31" s="6">
        <v>0.0</v>
      </c>
      <c r="DQ31" s="7">
        <v>0.0</v>
      </c>
    </row>
    <row r="32">
      <c r="B32" s="8" t="s">
        <v>31</v>
      </c>
      <c r="C32" s="6">
        <v>1.0</v>
      </c>
      <c r="D32" s="6">
        <v>0.0</v>
      </c>
      <c r="E32" s="6">
        <v>0.0</v>
      </c>
      <c r="F32" s="6">
        <v>1.0</v>
      </c>
      <c r="G32" s="6">
        <v>0.0</v>
      </c>
      <c r="H32" s="6">
        <v>0.0</v>
      </c>
      <c r="I32" s="7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1.0</v>
      </c>
      <c r="Q32" s="7">
        <v>1.0</v>
      </c>
      <c r="R32" s="6">
        <v>0.0</v>
      </c>
      <c r="S32" s="6">
        <v>0.0</v>
      </c>
      <c r="T32" s="6">
        <v>0.0</v>
      </c>
      <c r="U32" s="6">
        <v>1.0</v>
      </c>
      <c r="V32" s="6">
        <v>0.0</v>
      </c>
      <c r="W32" s="6">
        <v>1.0</v>
      </c>
      <c r="X32" s="6">
        <v>0.0</v>
      </c>
      <c r="Y32" s="6">
        <v>1.0</v>
      </c>
      <c r="Z32" s="7">
        <v>1.0</v>
      </c>
      <c r="AA32" s="6">
        <v>1.0</v>
      </c>
      <c r="AB32" s="6">
        <v>0.0</v>
      </c>
      <c r="AC32" s="6">
        <v>1.0</v>
      </c>
      <c r="AD32" s="6">
        <v>1.0</v>
      </c>
      <c r="AE32" s="6">
        <v>0.0</v>
      </c>
      <c r="AF32" s="6">
        <v>0.0</v>
      </c>
      <c r="AG32" s="6">
        <v>1.0</v>
      </c>
      <c r="AH32" s="7">
        <v>0.0</v>
      </c>
      <c r="AI32" s="6">
        <v>0.0</v>
      </c>
      <c r="AJ32" s="6">
        <v>1.0</v>
      </c>
      <c r="AK32" s="6">
        <v>0.0</v>
      </c>
      <c r="AL32" s="6">
        <v>1.0</v>
      </c>
      <c r="AM32" s="6">
        <v>1.0</v>
      </c>
      <c r="AN32" s="6">
        <v>1.0</v>
      </c>
      <c r="AO32" s="6">
        <v>1.0</v>
      </c>
      <c r="AP32" s="7">
        <v>1.0</v>
      </c>
      <c r="AQ32" s="6">
        <v>1.0</v>
      </c>
      <c r="AR32" s="6">
        <v>0.0</v>
      </c>
      <c r="AS32" s="6">
        <v>1.0</v>
      </c>
      <c r="AT32" s="6">
        <v>1.0</v>
      </c>
      <c r="AU32" s="6">
        <v>1.0</v>
      </c>
      <c r="AV32" s="6">
        <v>0.0</v>
      </c>
      <c r="AW32" s="6">
        <v>1.0</v>
      </c>
      <c r="AX32" s="7">
        <v>0.0</v>
      </c>
      <c r="AY32" s="6">
        <v>0.0</v>
      </c>
      <c r="AZ32" s="6">
        <v>0.0</v>
      </c>
      <c r="BA32" s="6">
        <v>0.0</v>
      </c>
      <c r="BB32" s="6">
        <v>0.0</v>
      </c>
      <c r="BC32" s="6">
        <v>0.0</v>
      </c>
      <c r="BD32" s="6">
        <v>0.0</v>
      </c>
      <c r="BE32" s="6">
        <v>0.0</v>
      </c>
      <c r="BF32" s="6">
        <v>0.0</v>
      </c>
      <c r="BG32" s="6">
        <v>0.0</v>
      </c>
      <c r="BH32" s="6">
        <v>1.0</v>
      </c>
      <c r="BI32" s="7">
        <v>0.0</v>
      </c>
      <c r="BJ32" s="6">
        <v>1.0</v>
      </c>
      <c r="BK32" s="6">
        <v>0.0</v>
      </c>
      <c r="BL32" s="6">
        <v>0.0</v>
      </c>
      <c r="BM32" s="6">
        <v>0.0</v>
      </c>
      <c r="BN32" s="6">
        <v>0.0</v>
      </c>
      <c r="BO32" s="7">
        <v>0.0</v>
      </c>
      <c r="BP32" s="6">
        <v>0.0</v>
      </c>
      <c r="BQ32" s="6">
        <v>0.0</v>
      </c>
      <c r="BR32" s="6">
        <v>0.0</v>
      </c>
      <c r="BS32" s="6">
        <v>0.0</v>
      </c>
      <c r="BT32" s="6">
        <v>0.0</v>
      </c>
      <c r="BU32" s="6">
        <v>1.0</v>
      </c>
      <c r="BV32" s="7">
        <v>1.0</v>
      </c>
      <c r="BW32" s="6">
        <v>0.0</v>
      </c>
      <c r="BX32" s="6">
        <v>1.0</v>
      </c>
      <c r="BY32" s="6">
        <v>1.0</v>
      </c>
      <c r="BZ32" s="6">
        <v>0.0</v>
      </c>
      <c r="CA32" s="6">
        <v>1.0</v>
      </c>
      <c r="CB32" s="6">
        <v>1.0</v>
      </c>
      <c r="CC32" s="6">
        <v>0.0</v>
      </c>
      <c r="CD32" s="6">
        <v>1.0</v>
      </c>
      <c r="CE32" s="6">
        <v>0.0</v>
      </c>
      <c r="CF32" s="6">
        <v>1.0</v>
      </c>
      <c r="CG32" s="6">
        <v>0.0</v>
      </c>
      <c r="CH32" s="6">
        <v>0.0</v>
      </c>
      <c r="CI32" s="6">
        <v>0.0</v>
      </c>
      <c r="CJ32" s="6">
        <v>0.0</v>
      </c>
      <c r="CK32" s="6">
        <v>0.0</v>
      </c>
      <c r="CL32" s="6">
        <v>1.0</v>
      </c>
      <c r="CM32" s="7">
        <v>0.0</v>
      </c>
      <c r="CN32" s="6">
        <v>1.0</v>
      </c>
      <c r="CO32" s="6">
        <v>0.0</v>
      </c>
      <c r="CP32" s="6">
        <v>0.0</v>
      </c>
      <c r="CQ32" s="6">
        <v>0.0</v>
      </c>
      <c r="CR32" s="6">
        <v>1.0</v>
      </c>
      <c r="CS32" s="6">
        <v>0.0</v>
      </c>
      <c r="CT32" s="6">
        <v>1.0</v>
      </c>
      <c r="CU32" s="6">
        <v>0.0</v>
      </c>
      <c r="CV32" s="6">
        <v>0.0</v>
      </c>
      <c r="CW32" s="6">
        <v>1.0</v>
      </c>
      <c r="CX32" s="6">
        <v>0.0</v>
      </c>
      <c r="CY32" s="6">
        <v>1.0</v>
      </c>
      <c r="CZ32" s="6">
        <v>0.0</v>
      </c>
      <c r="DA32" s="6">
        <v>0.0</v>
      </c>
      <c r="DB32" s="7">
        <v>1.0</v>
      </c>
      <c r="DC32" s="6">
        <v>0.0</v>
      </c>
      <c r="DD32" s="6">
        <v>0.0</v>
      </c>
      <c r="DE32" s="6">
        <v>0.0</v>
      </c>
      <c r="DF32" s="6">
        <v>0.0</v>
      </c>
      <c r="DG32" s="6">
        <v>0.0</v>
      </c>
      <c r="DH32" s="6">
        <v>0.0</v>
      </c>
      <c r="DI32" s="6">
        <v>0.0</v>
      </c>
      <c r="DJ32" s="6">
        <v>0.0</v>
      </c>
      <c r="DK32" s="6">
        <v>0.0</v>
      </c>
      <c r="DL32" s="6">
        <v>0.0</v>
      </c>
      <c r="DM32" s="6">
        <v>0.0</v>
      </c>
      <c r="DN32" s="6">
        <v>0.0</v>
      </c>
      <c r="DO32" s="6">
        <v>0.0</v>
      </c>
      <c r="DP32" s="6">
        <v>0.0</v>
      </c>
      <c r="DQ32" s="7">
        <v>0.0</v>
      </c>
    </row>
    <row r="33">
      <c r="B33" s="8" t="s">
        <v>32</v>
      </c>
      <c r="C33" s="6">
        <v>0.0</v>
      </c>
      <c r="D33" s="6">
        <v>1.0</v>
      </c>
      <c r="E33" s="6">
        <v>0.0</v>
      </c>
      <c r="F33" s="6">
        <v>0.0</v>
      </c>
      <c r="G33" s="6">
        <v>1.0</v>
      </c>
      <c r="H33" s="6">
        <v>0.0</v>
      </c>
      <c r="I33" s="7">
        <v>0.0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7">
        <v>0.0</v>
      </c>
      <c r="R33" s="6">
        <v>1.0</v>
      </c>
      <c r="S33" s="6">
        <v>1.0</v>
      </c>
      <c r="T33" s="6">
        <v>0.0</v>
      </c>
      <c r="U33" s="6">
        <v>1.0</v>
      </c>
      <c r="V33" s="6">
        <v>1.0</v>
      </c>
      <c r="W33" s="6">
        <v>1.0</v>
      </c>
      <c r="X33" s="6">
        <v>0.0</v>
      </c>
      <c r="Y33" s="6">
        <v>1.0</v>
      </c>
      <c r="Z33" s="7">
        <v>1.0</v>
      </c>
      <c r="AA33" s="6">
        <v>0.0</v>
      </c>
      <c r="AB33" s="6">
        <v>0.0</v>
      </c>
      <c r="AC33" s="6">
        <v>0.0</v>
      </c>
      <c r="AD33" s="6">
        <v>0.0</v>
      </c>
      <c r="AE33" s="6">
        <v>0.0</v>
      </c>
      <c r="AF33" s="6">
        <v>0.0</v>
      </c>
      <c r="AG33" s="6">
        <v>0.0</v>
      </c>
      <c r="AH33" s="7">
        <v>0.0</v>
      </c>
      <c r="AI33" s="6">
        <v>0.0</v>
      </c>
      <c r="AJ33" s="6">
        <v>0.0</v>
      </c>
      <c r="AK33" s="6">
        <v>0.0</v>
      </c>
      <c r="AL33" s="6">
        <v>1.0</v>
      </c>
      <c r="AM33" s="6">
        <v>1.0</v>
      </c>
      <c r="AN33" s="6">
        <v>0.0</v>
      </c>
      <c r="AO33" s="6">
        <v>0.0</v>
      </c>
      <c r="AP33" s="7">
        <v>1.0</v>
      </c>
      <c r="AQ33" s="6">
        <v>1.0</v>
      </c>
      <c r="AR33" s="6">
        <v>0.0</v>
      </c>
      <c r="AS33" s="6">
        <v>0.0</v>
      </c>
      <c r="AT33" s="6">
        <v>0.0</v>
      </c>
      <c r="AU33" s="6">
        <v>0.0</v>
      </c>
      <c r="AV33" s="6">
        <v>0.0</v>
      </c>
      <c r="AW33" s="6">
        <v>1.0</v>
      </c>
      <c r="AX33" s="7">
        <v>0.0</v>
      </c>
      <c r="AY33" s="6">
        <v>0.0</v>
      </c>
      <c r="AZ33" s="6">
        <v>1.0</v>
      </c>
      <c r="BA33" s="6">
        <v>0.0</v>
      </c>
      <c r="BB33" s="6">
        <v>1.0</v>
      </c>
      <c r="BC33" s="6">
        <v>1.0</v>
      </c>
      <c r="BD33" s="6">
        <v>1.0</v>
      </c>
      <c r="BE33" s="6">
        <v>0.0</v>
      </c>
      <c r="BF33" s="6">
        <v>0.0</v>
      </c>
      <c r="BG33" s="6">
        <v>0.0</v>
      </c>
      <c r="BH33" s="6">
        <v>1.0</v>
      </c>
      <c r="BI33" s="7">
        <v>1.0</v>
      </c>
      <c r="BJ33" s="6">
        <v>0.0</v>
      </c>
      <c r="BK33" s="6">
        <v>1.0</v>
      </c>
      <c r="BL33" s="6">
        <v>0.0</v>
      </c>
      <c r="BM33" s="6">
        <v>0.0</v>
      </c>
      <c r="BN33" s="6">
        <v>0.0</v>
      </c>
      <c r="BO33" s="7">
        <v>0.0</v>
      </c>
      <c r="BP33" s="6">
        <v>0.0</v>
      </c>
      <c r="BQ33" s="6">
        <v>0.0</v>
      </c>
      <c r="BR33" s="6">
        <v>1.0</v>
      </c>
      <c r="BS33" s="6">
        <v>0.0</v>
      </c>
      <c r="BT33" s="6">
        <v>0.0</v>
      </c>
      <c r="BU33" s="6">
        <v>0.0</v>
      </c>
      <c r="BV33" s="7">
        <v>0.0</v>
      </c>
      <c r="BW33" s="6">
        <v>0.0</v>
      </c>
      <c r="BX33" s="6">
        <v>1.0</v>
      </c>
      <c r="BY33" s="6">
        <v>1.0</v>
      </c>
      <c r="BZ33" s="6">
        <v>1.0</v>
      </c>
      <c r="CA33" s="6">
        <v>0.0</v>
      </c>
      <c r="CB33" s="6">
        <v>1.0</v>
      </c>
      <c r="CC33" s="6">
        <v>1.0</v>
      </c>
      <c r="CD33" s="6">
        <v>1.0</v>
      </c>
      <c r="CE33" s="6">
        <v>0.0</v>
      </c>
      <c r="CF33" s="6">
        <v>0.0</v>
      </c>
      <c r="CG33" s="6">
        <v>0.0</v>
      </c>
      <c r="CH33" s="6">
        <v>0.0</v>
      </c>
      <c r="CI33" s="6">
        <v>0.0</v>
      </c>
      <c r="CJ33" s="6">
        <v>1.0</v>
      </c>
      <c r="CK33" s="6">
        <v>0.0</v>
      </c>
      <c r="CL33" s="6">
        <v>0.0</v>
      </c>
      <c r="CM33" s="7">
        <v>1.0</v>
      </c>
      <c r="CN33" s="6">
        <v>0.0</v>
      </c>
      <c r="CO33" s="6">
        <v>1.0</v>
      </c>
      <c r="CP33" s="6">
        <v>0.0</v>
      </c>
      <c r="CQ33" s="6">
        <v>0.0</v>
      </c>
      <c r="CR33" s="6">
        <v>0.0</v>
      </c>
      <c r="CS33" s="6">
        <v>1.0</v>
      </c>
      <c r="CT33" s="6">
        <v>1.0</v>
      </c>
      <c r="CU33" s="6">
        <v>0.0</v>
      </c>
      <c r="CV33" s="6">
        <v>0.0</v>
      </c>
      <c r="CW33" s="6">
        <v>1.0</v>
      </c>
      <c r="CX33" s="6">
        <v>0.0</v>
      </c>
      <c r="CY33" s="6">
        <v>0.0</v>
      </c>
      <c r="CZ33" s="6">
        <v>0.0</v>
      </c>
      <c r="DA33" s="6">
        <v>0.0</v>
      </c>
      <c r="DB33" s="7">
        <v>1.0</v>
      </c>
      <c r="DC33" s="6">
        <v>0.0</v>
      </c>
      <c r="DD33" s="6">
        <v>0.0</v>
      </c>
      <c r="DE33" s="6">
        <v>0.0</v>
      </c>
      <c r="DF33" s="6">
        <v>0.0</v>
      </c>
      <c r="DG33" s="6">
        <v>1.0</v>
      </c>
      <c r="DH33" s="6">
        <v>0.0</v>
      </c>
      <c r="DI33" s="6">
        <v>0.0</v>
      </c>
      <c r="DJ33" s="6">
        <v>0.0</v>
      </c>
      <c r="DK33" s="6">
        <v>0.0</v>
      </c>
      <c r="DL33" s="6">
        <v>0.0</v>
      </c>
      <c r="DM33" s="6">
        <v>1.0</v>
      </c>
      <c r="DN33" s="6">
        <v>0.0</v>
      </c>
      <c r="DO33" s="6">
        <v>0.0</v>
      </c>
      <c r="DP33" s="6">
        <v>0.0</v>
      </c>
      <c r="DQ33" s="7">
        <v>0.0</v>
      </c>
    </row>
    <row r="34">
      <c r="B34" s="8" t="s">
        <v>33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6">
        <v>0.0</v>
      </c>
      <c r="K34" s="6">
        <v>1.0</v>
      </c>
      <c r="L34" s="6">
        <v>0.0</v>
      </c>
      <c r="M34" s="6">
        <v>1.0</v>
      </c>
      <c r="N34" s="6">
        <v>1.0</v>
      </c>
      <c r="O34" s="6">
        <v>1.0</v>
      </c>
      <c r="P34" s="6">
        <v>0.0</v>
      </c>
      <c r="Q34" s="7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1.0</v>
      </c>
      <c r="W34" s="6">
        <v>1.0</v>
      </c>
      <c r="X34" s="6">
        <v>1.0</v>
      </c>
      <c r="Y34" s="6">
        <v>1.0</v>
      </c>
      <c r="Z34" s="7">
        <v>1.0</v>
      </c>
      <c r="AA34" s="6">
        <v>0.0</v>
      </c>
      <c r="AB34" s="6">
        <v>1.0</v>
      </c>
      <c r="AC34" s="6">
        <v>0.0</v>
      </c>
      <c r="AD34" s="6">
        <v>0.0</v>
      </c>
      <c r="AE34" s="6">
        <v>1.0</v>
      </c>
      <c r="AF34" s="6">
        <v>0.0</v>
      </c>
      <c r="AG34" s="6">
        <v>0.0</v>
      </c>
      <c r="AH34" s="7">
        <v>0.0</v>
      </c>
      <c r="AI34" s="6">
        <v>0.0</v>
      </c>
      <c r="AJ34" s="6">
        <v>0.0</v>
      </c>
      <c r="AK34" s="6">
        <v>1.0</v>
      </c>
      <c r="AL34" s="6">
        <v>1.0</v>
      </c>
      <c r="AM34" s="6">
        <v>0.0</v>
      </c>
      <c r="AN34" s="6">
        <v>0.0</v>
      </c>
      <c r="AO34" s="6">
        <v>0.0</v>
      </c>
      <c r="AP34" s="7">
        <v>1.0</v>
      </c>
      <c r="AQ34" s="6">
        <v>1.0</v>
      </c>
      <c r="AR34" s="6">
        <v>0.0</v>
      </c>
      <c r="AS34" s="6">
        <v>0.0</v>
      </c>
      <c r="AT34" s="6">
        <v>0.0</v>
      </c>
      <c r="AU34" s="6">
        <v>1.0</v>
      </c>
      <c r="AV34" s="6">
        <v>0.0</v>
      </c>
      <c r="AW34" s="6">
        <v>1.0</v>
      </c>
      <c r="AX34" s="7">
        <v>0.0</v>
      </c>
      <c r="AY34" s="6">
        <v>0.0</v>
      </c>
      <c r="AZ34" s="6">
        <v>0.0</v>
      </c>
      <c r="BA34" s="6">
        <v>0.0</v>
      </c>
      <c r="BB34" s="6">
        <v>0.0</v>
      </c>
      <c r="BC34" s="6">
        <v>1.0</v>
      </c>
      <c r="BD34" s="6">
        <v>0.0</v>
      </c>
      <c r="BE34" s="6">
        <v>0.0</v>
      </c>
      <c r="BF34" s="6">
        <v>0.0</v>
      </c>
      <c r="BG34" s="6">
        <v>0.0</v>
      </c>
      <c r="BH34" s="6">
        <v>0.0</v>
      </c>
      <c r="BI34" s="7">
        <v>0.0</v>
      </c>
      <c r="BJ34" s="6">
        <v>0.0</v>
      </c>
      <c r="BK34" s="6">
        <v>0.0</v>
      </c>
      <c r="BL34" s="6">
        <v>0.0</v>
      </c>
      <c r="BM34" s="6">
        <v>0.0</v>
      </c>
      <c r="BN34" s="6">
        <v>0.0</v>
      </c>
      <c r="BO34" s="7">
        <v>0.0</v>
      </c>
      <c r="BP34" s="6">
        <v>1.0</v>
      </c>
      <c r="BQ34" s="6">
        <v>0.0</v>
      </c>
      <c r="BR34" s="6">
        <v>0.0</v>
      </c>
      <c r="BS34" s="6">
        <v>0.0</v>
      </c>
      <c r="BT34" s="6">
        <v>1.0</v>
      </c>
      <c r="BU34" s="6">
        <v>1.0</v>
      </c>
      <c r="BV34" s="7">
        <v>1.0</v>
      </c>
      <c r="BW34" s="6">
        <v>0.0</v>
      </c>
      <c r="BX34" s="6">
        <v>0.0</v>
      </c>
      <c r="BY34" s="6">
        <v>0.0</v>
      </c>
      <c r="BZ34" s="6">
        <v>0.0</v>
      </c>
      <c r="CA34" s="6">
        <v>0.0</v>
      </c>
      <c r="CB34" s="6">
        <v>1.0</v>
      </c>
      <c r="CC34" s="6">
        <v>1.0</v>
      </c>
      <c r="CD34" s="6">
        <v>1.0</v>
      </c>
      <c r="CE34" s="6">
        <v>0.0</v>
      </c>
      <c r="CF34" s="6">
        <v>0.0</v>
      </c>
      <c r="CG34" s="6">
        <v>0.0</v>
      </c>
      <c r="CH34" s="6">
        <v>0.0</v>
      </c>
      <c r="CI34" s="6">
        <v>0.0</v>
      </c>
      <c r="CJ34" s="6">
        <v>1.0</v>
      </c>
      <c r="CK34" s="6">
        <v>0.0</v>
      </c>
      <c r="CL34" s="6">
        <v>0.0</v>
      </c>
      <c r="CM34" s="7">
        <v>0.0</v>
      </c>
      <c r="CN34" s="6">
        <v>0.0</v>
      </c>
      <c r="CO34" s="6">
        <v>0.0</v>
      </c>
      <c r="CP34" s="6">
        <v>0.0</v>
      </c>
      <c r="CQ34" s="6">
        <v>0.0</v>
      </c>
      <c r="CR34" s="6">
        <v>1.0</v>
      </c>
      <c r="CS34" s="6">
        <v>0.0</v>
      </c>
      <c r="CT34" s="6">
        <v>0.0</v>
      </c>
      <c r="CU34" s="6">
        <v>0.0</v>
      </c>
      <c r="CV34" s="6">
        <v>0.0</v>
      </c>
      <c r="CW34" s="6">
        <v>1.0</v>
      </c>
      <c r="CX34" s="6">
        <v>0.0</v>
      </c>
      <c r="CY34" s="6">
        <v>0.0</v>
      </c>
      <c r="CZ34" s="6">
        <v>0.0</v>
      </c>
      <c r="DA34" s="6">
        <v>0.0</v>
      </c>
      <c r="DB34" s="7">
        <v>1.0</v>
      </c>
      <c r="DC34" s="6">
        <v>0.0</v>
      </c>
      <c r="DD34" s="6">
        <v>0.0</v>
      </c>
      <c r="DE34" s="6">
        <v>0.0</v>
      </c>
      <c r="DF34" s="6">
        <v>0.0</v>
      </c>
      <c r="DG34" s="6">
        <v>0.0</v>
      </c>
      <c r="DH34" s="6">
        <v>1.0</v>
      </c>
      <c r="DI34" s="6">
        <v>0.0</v>
      </c>
      <c r="DJ34" s="6">
        <v>1.0</v>
      </c>
      <c r="DK34" s="6">
        <v>1.0</v>
      </c>
      <c r="DL34" s="6">
        <v>0.0</v>
      </c>
      <c r="DM34" s="6">
        <v>1.0</v>
      </c>
      <c r="DN34" s="6">
        <v>1.0</v>
      </c>
      <c r="DO34" s="6">
        <v>0.0</v>
      </c>
      <c r="DP34" s="6">
        <v>0.0</v>
      </c>
      <c r="DQ34" s="7">
        <v>0.0</v>
      </c>
    </row>
    <row r="35">
      <c r="B35" s="8" t="s">
        <v>34</v>
      </c>
      <c r="C35" s="6">
        <v>0.0</v>
      </c>
      <c r="D35" s="6">
        <v>0.0</v>
      </c>
      <c r="E35" s="6">
        <v>0.0</v>
      </c>
      <c r="F35" s="6">
        <v>1.0</v>
      </c>
      <c r="G35" s="6">
        <v>0.0</v>
      </c>
      <c r="H35" s="6">
        <v>0.0</v>
      </c>
      <c r="I35" s="7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1.0</v>
      </c>
      <c r="O35" s="6">
        <v>0.0</v>
      </c>
      <c r="P35" s="6">
        <v>0.0</v>
      </c>
      <c r="Q35" s="7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1.0</v>
      </c>
      <c r="X35" s="6">
        <v>0.0</v>
      </c>
      <c r="Y35" s="6">
        <v>0.0</v>
      </c>
      <c r="Z35" s="7">
        <v>0.0</v>
      </c>
      <c r="AA35" s="6">
        <v>0.0</v>
      </c>
      <c r="AB35" s="6">
        <v>1.0</v>
      </c>
      <c r="AC35" s="6">
        <v>0.0</v>
      </c>
      <c r="AD35" s="6">
        <v>0.0</v>
      </c>
      <c r="AE35" s="6">
        <v>0.0</v>
      </c>
      <c r="AF35" s="6">
        <v>0.0</v>
      </c>
      <c r="AG35" s="6">
        <v>0.0</v>
      </c>
      <c r="AH35" s="7">
        <v>0.0</v>
      </c>
      <c r="AI35" s="6">
        <v>0.0</v>
      </c>
      <c r="AJ35" s="6">
        <v>0.0</v>
      </c>
      <c r="AK35" s="6">
        <v>0.0</v>
      </c>
      <c r="AL35" s="6">
        <v>0.0</v>
      </c>
      <c r="AM35" s="6">
        <v>1.0</v>
      </c>
      <c r="AN35" s="6">
        <v>0.0</v>
      </c>
      <c r="AO35" s="6">
        <v>0.0</v>
      </c>
      <c r="AP35" s="7">
        <v>1.0</v>
      </c>
      <c r="AQ35" s="6">
        <v>0.0</v>
      </c>
      <c r="AR35" s="6">
        <v>0.0</v>
      </c>
      <c r="AS35" s="6">
        <v>0.0</v>
      </c>
      <c r="AT35" s="6">
        <v>0.0</v>
      </c>
      <c r="AU35" s="6">
        <v>1.0</v>
      </c>
      <c r="AV35" s="6">
        <v>0.0</v>
      </c>
      <c r="AW35" s="6">
        <v>1.0</v>
      </c>
      <c r="AX35" s="7">
        <v>0.0</v>
      </c>
      <c r="AY35" s="6">
        <v>0.0</v>
      </c>
      <c r="AZ35" s="6">
        <v>0.0</v>
      </c>
      <c r="BA35" s="6">
        <v>0.0</v>
      </c>
      <c r="BB35" s="6">
        <v>1.0</v>
      </c>
      <c r="BC35" s="6">
        <v>0.0</v>
      </c>
      <c r="BD35" s="6">
        <v>0.0</v>
      </c>
      <c r="BE35" s="6">
        <v>0.0</v>
      </c>
      <c r="BF35" s="6">
        <v>0.0</v>
      </c>
      <c r="BG35" s="6">
        <v>0.0</v>
      </c>
      <c r="BH35" s="6">
        <v>0.0</v>
      </c>
      <c r="BI35" s="7">
        <v>0.0</v>
      </c>
      <c r="BJ35" s="6">
        <v>0.0</v>
      </c>
      <c r="BK35" s="6">
        <v>0.0</v>
      </c>
      <c r="BL35" s="6">
        <v>0.0</v>
      </c>
      <c r="BM35" s="6">
        <v>0.0</v>
      </c>
      <c r="BN35" s="6">
        <v>0.0</v>
      </c>
      <c r="BO35" s="7">
        <v>0.0</v>
      </c>
      <c r="BP35" s="6">
        <v>1.0</v>
      </c>
      <c r="BQ35" s="6">
        <v>0.0</v>
      </c>
      <c r="BR35" s="6">
        <v>0.0</v>
      </c>
      <c r="BS35" s="6">
        <v>1.0</v>
      </c>
      <c r="BT35" s="6">
        <v>0.0</v>
      </c>
      <c r="BU35" s="6">
        <v>0.0</v>
      </c>
      <c r="BV35" s="7">
        <v>1.0</v>
      </c>
      <c r="BW35" s="6">
        <v>0.0</v>
      </c>
      <c r="BX35" s="6">
        <v>0.0</v>
      </c>
      <c r="BY35" s="6">
        <v>0.0</v>
      </c>
      <c r="BZ35" s="6">
        <v>0.0</v>
      </c>
      <c r="CA35" s="6">
        <v>0.0</v>
      </c>
      <c r="CB35" s="6">
        <v>0.0</v>
      </c>
      <c r="CC35" s="6">
        <v>1.0</v>
      </c>
      <c r="CD35" s="6">
        <v>0.0</v>
      </c>
      <c r="CE35" s="6">
        <v>0.0</v>
      </c>
      <c r="CF35" s="6">
        <v>0.0</v>
      </c>
      <c r="CG35" s="6">
        <v>0.0</v>
      </c>
      <c r="CH35" s="6">
        <v>0.0</v>
      </c>
      <c r="CI35" s="6">
        <v>0.0</v>
      </c>
      <c r="CJ35" s="6">
        <v>0.0</v>
      </c>
      <c r="CK35" s="6">
        <v>0.0</v>
      </c>
      <c r="CL35" s="6">
        <v>0.0</v>
      </c>
      <c r="CM35" s="7">
        <v>0.0</v>
      </c>
      <c r="CN35" s="6">
        <v>0.0</v>
      </c>
      <c r="CO35" s="6">
        <v>0.0</v>
      </c>
      <c r="CP35" s="6">
        <v>0.0</v>
      </c>
      <c r="CQ35" s="6">
        <v>0.0</v>
      </c>
      <c r="CR35" s="6">
        <v>0.0</v>
      </c>
      <c r="CS35" s="6">
        <v>0.0</v>
      </c>
      <c r="CT35" s="6">
        <v>0.0</v>
      </c>
      <c r="CU35" s="6">
        <v>0.0</v>
      </c>
      <c r="CV35" s="6">
        <v>0.0</v>
      </c>
      <c r="CW35" s="6">
        <v>0.0</v>
      </c>
      <c r="CX35" s="6">
        <v>0.0</v>
      </c>
      <c r="CY35" s="6">
        <v>0.0</v>
      </c>
      <c r="CZ35" s="6">
        <v>0.0</v>
      </c>
      <c r="DA35" s="6">
        <v>0.0</v>
      </c>
      <c r="DB35" s="7">
        <v>0.0</v>
      </c>
      <c r="DC35" s="6">
        <v>1.0</v>
      </c>
      <c r="DD35" s="6">
        <v>1.0</v>
      </c>
      <c r="DE35" s="6">
        <v>0.0</v>
      </c>
      <c r="DF35" s="6">
        <v>1.0</v>
      </c>
      <c r="DG35" s="6">
        <v>0.0</v>
      </c>
      <c r="DH35" s="6">
        <v>0.0</v>
      </c>
      <c r="DI35" s="6">
        <v>0.0</v>
      </c>
      <c r="DJ35" s="6">
        <v>0.0</v>
      </c>
      <c r="DK35" s="6">
        <v>0.0</v>
      </c>
      <c r="DL35" s="6">
        <v>0.0</v>
      </c>
      <c r="DM35" s="6">
        <v>0.0</v>
      </c>
      <c r="DN35" s="6">
        <v>0.0</v>
      </c>
      <c r="DO35" s="6">
        <v>0.0</v>
      </c>
      <c r="DP35" s="6">
        <v>0.0</v>
      </c>
      <c r="DQ35" s="7">
        <v>0.0</v>
      </c>
    </row>
    <row r="36">
      <c r="B36" s="8" t="s">
        <v>35</v>
      </c>
      <c r="C36" s="6">
        <v>0.0</v>
      </c>
      <c r="D36" s="6">
        <v>0.0</v>
      </c>
      <c r="E36" s="6">
        <v>0.0</v>
      </c>
      <c r="F36" s="6">
        <v>1.0</v>
      </c>
      <c r="G36" s="6">
        <v>1.0</v>
      </c>
      <c r="H36" s="6">
        <v>1.0</v>
      </c>
      <c r="I36" s="7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1.0</v>
      </c>
      <c r="O36" s="6">
        <v>0.0</v>
      </c>
      <c r="P36" s="6">
        <v>0.0</v>
      </c>
      <c r="Q36" s="7">
        <v>0.0</v>
      </c>
      <c r="R36" s="6">
        <v>1.0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7">
        <v>0.0</v>
      </c>
      <c r="AA36" s="6">
        <v>1.0</v>
      </c>
      <c r="AB36" s="6">
        <v>1.0</v>
      </c>
      <c r="AC36" s="6">
        <v>0.0</v>
      </c>
      <c r="AD36" s="6">
        <v>0.0</v>
      </c>
      <c r="AE36" s="6">
        <v>1.0</v>
      </c>
      <c r="AF36" s="6">
        <v>0.0</v>
      </c>
      <c r="AG36" s="6">
        <v>0.0</v>
      </c>
      <c r="AH36" s="7">
        <v>0.0</v>
      </c>
      <c r="AI36" s="6">
        <v>0.0</v>
      </c>
      <c r="AJ36" s="6">
        <v>1.0</v>
      </c>
      <c r="AK36" s="6">
        <v>1.0</v>
      </c>
      <c r="AL36" s="6">
        <v>1.0</v>
      </c>
      <c r="AM36" s="6">
        <v>1.0</v>
      </c>
      <c r="AN36" s="6">
        <v>0.0</v>
      </c>
      <c r="AO36" s="6">
        <v>0.0</v>
      </c>
      <c r="AP36" s="7">
        <v>1.0</v>
      </c>
      <c r="AQ36" s="6">
        <v>1.0</v>
      </c>
      <c r="AR36" s="6">
        <v>0.0</v>
      </c>
      <c r="AS36" s="6">
        <v>0.0</v>
      </c>
      <c r="AT36" s="6">
        <v>1.0</v>
      </c>
      <c r="AU36" s="6">
        <v>0.0</v>
      </c>
      <c r="AV36" s="6">
        <v>0.0</v>
      </c>
      <c r="AW36" s="6">
        <v>1.0</v>
      </c>
      <c r="AX36" s="7">
        <v>0.0</v>
      </c>
      <c r="AY36" s="6">
        <v>1.0</v>
      </c>
      <c r="AZ36" s="6">
        <v>0.0</v>
      </c>
      <c r="BA36" s="6">
        <v>0.0</v>
      </c>
      <c r="BB36" s="6">
        <v>1.0</v>
      </c>
      <c r="BC36" s="6">
        <v>0.0</v>
      </c>
      <c r="BD36" s="6">
        <v>0.0</v>
      </c>
      <c r="BE36" s="6">
        <v>0.0</v>
      </c>
      <c r="BF36" s="6">
        <v>1.0</v>
      </c>
      <c r="BG36" s="6">
        <v>0.0</v>
      </c>
      <c r="BH36" s="6">
        <v>0.0</v>
      </c>
      <c r="BI36" s="7">
        <v>0.0</v>
      </c>
      <c r="BJ36" s="6">
        <v>0.0</v>
      </c>
      <c r="BK36" s="6">
        <v>0.0</v>
      </c>
      <c r="BL36" s="6">
        <v>0.0</v>
      </c>
      <c r="BM36" s="6">
        <v>0.0</v>
      </c>
      <c r="BN36" s="6">
        <v>0.0</v>
      </c>
      <c r="BO36" s="7">
        <v>0.0</v>
      </c>
      <c r="BP36" s="6">
        <v>0.0</v>
      </c>
      <c r="BQ36" s="6">
        <v>1.0</v>
      </c>
      <c r="BR36" s="6">
        <v>1.0</v>
      </c>
      <c r="BS36" s="6">
        <v>0.0</v>
      </c>
      <c r="BT36" s="6">
        <v>0.0</v>
      </c>
      <c r="BU36" s="6">
        <v>0.0</v>
      </c>
      <c r="BV36" s="7">
        <v>1.0</v>
      </c>
      <c r="BW36" s="6">
        <v>0.0</v>
      </c>
      <c r="BX36" s="6">
        <v>0.0</v>
      </c>
      <c r="BY36" s="6">
        <v>0.0</v>
      </c>
      <c r="BZ36" s="6">
        <v>0.0</v>
      </c>
      <c r="CA36" s="6">
        <v>1.0</v>
      </c>
      <c r="CB36" s="6">
        <v>0.0</v>
      </c>
      <c r="CC36" s="6">
        <v>0.0</v>
      </c>
      <c r="CD36" s="6">
        <v>0.0</v>
      </c>
      <c r="CE36" s="6">
        <v>0.0</v>
      </c>
      <c r="CF36" s="6">
        <v>0.0</v>
      </c>
      <c r="CG36" s="6">
        <v>0.0</v>
      </c>
      <c r="CH36" s="6">
        <v>0.0</v>
      </c>
      <c r="CI36" s="6">
        <v>0.0</v>
      </c>
      <c r="CJ36" s="6">
        <v>0.0</v>
      </c>
      <c r="CK36" s="6">
        <v>0.0</v>
      </c>
      <c r="CL36" s="6">
        <v>0.0</v>
      </c>
      <c r="CM36" s="7">
        <v>0.0</v>
      </c>
      <c r="CN36" s="6">
        <v>0.0</v>
      </c>
      <c r="CO36" s="6">
        <v>0.0</v>
      </c>
      <c r="CP36" s="6">
        <v>0.0</v>
      </c>
      <c r="CQ36" s="6">
        <v>0.0</v>
      </c>
      <c r="CR36" s="6">
        <v>0.0</v>
      </c>
      <c r="CS36" s="6">
        <v>1.0</v>
      </c>
      <c r="CT36" s="6">
        <v>1.0</v>
      </c>
      <c r="CU36" s="6">
        <v>1.0</v>
      </c>
      <c r="CV36" s="6">
        <v>1.0</v>
      </c>
      <c r="CW36" s="6">
        <v>0.0</v>
      </c>
      <c r="CX36" s="6">
        <v>0.0</v>
      </c>
      <c r="CY36" s="6">
        <v>0.0</v>
      </c>
      <c r="CZ36" s="6">
        <v>0.0</v>
      </c>
      <c r="DA36" s="6">
        <v>0.0</v>
      </c>
      <c r="DB36" s="7">
        <v>1.0</v>
      </c>
      <c r="DC36" s="6">
        <v>0.0</v>
      </c>
      <c r="DD36" s="6">
        <v>0.0</v>
      </c>
      <c r="DE36" s="6">
        <v>0.0</v>
      </c>
      <c r="DF36" s="6">
        <v>0.0</v>
      </c>
      <c r="DG36" s="6">
        <v>0.0</v>
      </c>
      <c r="DH36" s="6">
        <v>0.0</v>
      </c>
      <c r="DI36" s="6">
        <v>0.0</v>
      </c>
      <c r="DJ36" s="6">
        <v>0.0</v>
      </c>
      <c r="DK36" s="6">
        <v>0.0</v>
      </c>
      <c r="DL36" s="6">
        <v>0.0</v>
      </c>
      <c r="DM36" s="6">
        <v>1.0</v>
      </c>
      <c r="DN36" s="6">
        <v>1.0</v>
      </c>
      <c r="DO36" s="6">
        <v>0.0</v>
      </c>
      <c r="DP36" s="6">
        <v>0.0</v>
      </c>
      <c r="DQ36" s="7">
        <v>0.0</v>
      </c>
    </row>
    <row r="37">
      <c r="B37" s="8" t="s">
        <v>36</v>
      </c>
      <c r="C37" s="6">
        <v>0.0</v>
      </c>
      <c r="D37" s="6">
        <v>0.0</v>
      </c>
      <c r="E37" s="6">
        <v>0.0</v>
      </c>
      <c r="F37" s="6">
        <v>1.0</v>
      </c>
      <c r="G37" s="6">
        <v>0.0</v>
      </c>
      <c r="H37" s="6">
        <v>0.0</v>
      </c>
      <c r="I37" s="7">
        <v>0.0</v>
      </c>
      <c r="J37" s="6">
        <v>0.0</v>
      </c>
      <c r="K37" s="6">
        <v>1.0</v>
      </c>
      <c r="L37" s="6">
        <v>0.0</v>
      </c>
      <c r="M37" s="6">
        <v>1.0</v>
      </c>
      <c r="N37" s="6">
        <v>1.0</v>
      </c>
      <c r="O37" s="6">
        <v>0.0</v>
      </c>
      <c r="P37" s="6">
        <v>0.0</v>
      </c>
      <c r="Q37" s="7">
        <v>1.0</v>
      </c>
      <c r="R37" s="6">
        <v>1.0</v>
      </c>
      <c r="S37" s="6">
        <v>1.0</v>
      </c>
      <c r="T37" s="6">
        <v>0.0</v>
      </c>
      <c r="U37" s="6">
        <v>0.0</v>
      </c>
      <c r="V37" s="6">
        <v>1.0</v>
      </c>
      <c r="W37" s="6">
        <v>1.0</v>
      </c>
      <c r="X37" s="6">
        <v>0.0</v>
      </c>
      <c r="Y37" s="6">
        <v>0.0</v>
      </c>
      <c r="Z37" s="7">
        <v>0.0</v>
      </c>
      <c r="AA37" s="6">
        <v>0.0</v>
      </c>
      <c r="AB37" s="6">
        <v>0.0</v>
      </c>
      <c r="AC37" s="6">
        <v>1.0</v>
      </c>
      <c r="AD37" s="6">
        <v>0.0</v>
      </c>
      <c r="AE37" s="6">
        <v>1.0</v>
      </c>
      <c r="AF37" s="6">
        <v>1.0</v>
      </c>
      <c r="AG37" s="6">
        <v>0.0</v>
      </c>
      <c r="AH37" s="7">
        <v>0.0</v>
      </c>
      <c r="AI37" s="6">
        <v>0.0</v>
      </c>
      <c r="AJ37" s="6">
        <v>0.0</v>
      </c>
      <c r="AK37" s="6">
        <v>1.0</v>
      </c>
      <c r="AL37" s="6">
        <v>0.0</v>
      </c>
      <c r="AM37" s="6">
        <v>1.0</v>
      </c>
      <c r="AN37" s="6">
        <v>0.0</v>
      </c>
      <c r="AO37" s="6">
        <v>0.0</v>
      </c>
      <c r="AP37" s="7">
        <v>1.0</v>
      </c>
      <c r="AQ37" s="6">
        <v>0.0</v>
      </c>
      <c r="AR37" s="6">
        <v>0.0</v>
      </c>
      <c r="AS37" s="6">
        <v>0.0</v>
      </c>
      <c r="AT37" s="6">
        <v>0.0</v>
      </c>
      <c r="AU37" s="6">
        <v>0.0</v>
      </c>
      <c r="AV37" s="6">
        <v>0.0</v>
      </c>
      <c r="AW37" s="6">
        <v>0.0</v>
      </c>
      <c r="AX37" s="7">
        <v>1.0</v>
      </c>
      <c r="AY37" s="6">
        <v>0.0</v>
      </c>
      <c r="AZ37" s="6">
        <v>0.0</v>
      </c>
      <c r="BA37" s="6">
        <v>0.0</v>
      </c>
      <c r="BB37" s="6">
        <v>1.0</v>
      </c>
      <c r="BC37" s="6">
        <v>0.0</v>
      </c>
      <c r="BD37" s="6">
        <v>0.0</v>
      </c>
      <c r="BE37" s="6">
        <v>0.0</v>
      </c>
      <c r="BF37" s="6">
        <v>0.0</v>
      </c>
      <c r="BG37" s="6">
        <v>0.0</v>
      </c>
      <c r="BH37" s="6">
        <v>1.0</v>
      </c>
      <c r="BI37" s="7">
        <v>0.0</v>
      </c>
      <c r="BJ37" s="6">
        <v>0.0</v>
      </c>
      <c r="BK37" s="6">
        <v>0.0</v>
      </c>
      <c r="BL37" s="6">
        <v>0.0</v>
      </c>
      <c r="BM37" s="6">
        <v>0.0</v>
      </c>
      <c r="BN37" s="6">
        <v>0.0</v>
      </c>
      <c r="BO37" s="7">
        <v>0.0</v>
      </c>
      <c r="BP37" s="6">
        <v>1.0</v>
      </c>
      <c r="BQ37" s="6">
        <v>1.0</v>
      </c>
      <c r="BR37" s="6">
        <v>0.0</v>
      </c>
      <c r="BS37" s="6">
        <v>0.0</v>
      </c>
      <c r="BT37" s="6">
        <v>1.0</v>
      </c>
      <c r="BU37" s="6">
        <v>0.0</v>
      </c>
      <c r="BV37" s="7">
        <v>1.0</v>
      </c>
      <c r="BW37" s="6">
        <v>0.0</v>
      </c>
      <c r="BX37" s="6">
        <v>0.0</v>
      </c>
      <c r="BY37" s="6">
        <v>0.0</v>
      </c>
      <c r="BZ37" s="6">
        <v>0.0</v>
      </c>
      <c r="CA37" s="6">
        <v>0.0</v>
      </c>
      <c r="CB37" s="6">
        <v>1.0</v>
      </c>
      <c r="CC37" s="6">
        <v>0.0</v>
      </c>
      <c r="CD37" s="6">
        <v>1.0</v>
      </c>
      <c r="CE37" s="6">
        <v>0.0</v>
      </c>
      <c r="CF37" s="6">
        <v>0.0</v>
      </c>
      <c r="CG37" s="6">
        <v>1.0</v>
      </c>
      <c r="CH37" s="6">
        <v>0.0</v>
      </c>
      <c r="CI37" s="6">
        <v>0.0</v>
      </c>
      <c r="CJ37" s="6">
        <v>0.0</v>
      </c>
      <c r="CK37" s="6">
        <v>0.0</v>
      </c>
      <c r="CL37" s="6">
        <v>0.0</v>
      </c>
      <c r="CM37" s="7">
        <v>0.0</v>
      </c>
      <c r="CN37" s="6">
        <v>0.0</v>
      </c>
      <c r="CO37" s="6">
        <v>0.0</v>
      </c>
      <c r="CP37" s="6">
        <v>0.0</v>
      </c>
      <c r="CQ37" s="6">
        <v>0.0</v>
      </c>
      <c r="CR37" s="6">
        <v>0.0</v>
      </c>
      <c r="CS37" s="6">
        <v>1.0</v>
      </c>
      <c r="CT37" s="6">
        <v>1.0</v>
      </c>
      <c r="CU37" s="6">
        <v>0.0</v>
      </c>
      <c r="CV37" s="6">
        <v>1.0</v>
      </c>
      <c r="CW37" s="6">
        <v>0.0</v>
      </c>
      <c r="CX37" s="6">
        <v>0.0</v>
      </c>
      <c r="CY37" s="6">
        <v>0.0</v>
      </c>
      <c r="CZ37" s="6">
        <v>0.0</v>
      </c>
      <c r="DA37" s="6">
        <v>0.0</v>
      </c>
      <c r="DB37" s="7">
        <v>0.0</v>
      </c>
      <c r="DC37" s="6">
        <v>1.0</v>
      </c>
      <c r="DD37" s="6">
        <v>1.0</v>
      </c>
      <c r="DE37" s="6">
        <v>0.0</v>
      </c>
      <c r="DF37" s="6">
        <v>0.0</v>
      </c>
      <c r="DG37" s="6">
        <v>0.0</v>
      </c>
      <c r="DH37" s="6">
        <v>0.0</v>
      </c>
      <c r="DI37" s="6">
        <v>0.0</v>
      </c>
      <c r="DJ37" s="6">
        <v>0.0</v>
      </c>
      <c r="DK37" s="6">
        <v>1.0</v>
      </c>
      <c r="DL37" s="6">
        <v>0.0</v>
      </c>
      <c r="DM37" s="6">
        <v>0.0</v>
      </c>
      <c r="DN37" s="6">
        <v>0.0</v>
      </c>
      <c r="DO37" s="6">
        <v>0.0</v>
      </c>
      <c r="DP37" s="6">
        <v>0.0</v>
      </c>
      <c r="DQ37" s="7">
        <v>1.0</v>
      </c>
    </row>
    <row r="38">
      <c r="V38" s="4"/>
      <c r="W38" s="4"/>
      <c r="X38" s="4"/>
      <c r="Y38" s="4"/>
      <c r="Z38" s="4"/>
      <c r="AA38" s="4"/>
    </row>
    <row r="39">
      <c r="B39" s="2" t="s">
        <v>37</v>
      </c>
      <c r="C39" s="3">
        <v>1.0</v>
      </c>
      <c r="D39" s="3" t="s">
        <v>38</v>
      </c>
      <c r="E39" s="3">
        <v>3.0</v>
      </c>
      <c r="F39" s="3">
        <v>4.0</v>
      </c>
      <c r="G39" s="3">
        <v>5.0</v>
      </c>
      <c r="H39" s="3" t="s">
        <v>39</v>
      </c>
      <c r="I39" s="3">
        <v>7.0</v>
      </c>
      <c r="J39" s="3" t="s">
        <v>40</v>
      </c>
      <c r="K39" s="3" t="s">
        <v>41</v>
      </c>
      <c r="L39" s="3">
        <v>10.0</v>
      </c>
      <c r="M39" s="3">
        <v>11.0</v>
      </c>
      <c r="N39" s="3" t="s">
        <v>42</v>
      </c>
      <c r="O39" s="3">
        <v>13.0</v>
      </c>
      <c r="P39" s="3">
        <v>14.0</v>
      </c>
      <c r="Q39" s="3">
        <v>15.0</v>
      </c>
      <c r="R39" s="3">
        <v>16.0</v>
      </c>
      <c r="S39" s="3">
        <v>17.0</v>
      </c>
      <c r="T39" s="3" t="s">
        <v>43</v>
      </c>
      <c r="U39" s="3">
        <v>19.0</v>
      </c>
      <c r="V39" s="3">
        <v>20.0</v>
      </c>
      <c r="W39" s="3" t="s">
        <v>44</v>
      </c>
      <c r="X39" s="3">
        <v>22.0</v>
      </c>
      <c r="Y39" s="3" t="s">
        <v>45</v>
      </c>
      <c r="Z39" s="3" t="s">
        <v>46</v>
      </c>
      <c r="AA39" s="3">
        <v>25.0</v>
      </c>
      <c r="AB39" s="3">
        <v>26.0</v>
      </c>
      <c r="AC39" s="3" t="s">
        <v>47</v>
      </c>
      <c r="AD39" s="3">
        <v>28.0</v>
      </c>
      <c r="AE39" s="3">
        <v>29.0</v>
      </c>
      <c r="AF39" s="3">
        <v>30.0</v>
      </c>
      <c r="AG39" s="3" t="s">
        <v>48</v>
      </c>
      <c r="AH39" s="3">
        <v>32.0</v>
      </c>
      <c r="AI39" s="3">
        <v>33.0</v>
      </c>
      <c r="AJ39" s="3" t="s">
        <v>49</v>
      </c>
      <c r="AK39" s="3" t="s">
        <v>50</v>
      </c>
      <c r="AL39" s="3">
        <v>36.0</v>
      </c>
      <c r="AM39" s="3" t="s">
        <v>51</v>
      </c>
      <c r="AN39" s="3">
        <v>38.0</v>
      </c>
      <c r="AO39" s="3">
        <v>39.0</v>
      </c>
      <c r="AP39" s="3">
        <v>40.0</v>
      </c>
      <c r="AQ39" s="3" t="s">
        <v>52</v>
      </c>
      <c r="AR39" s="3">
        <v>42.0</v>
      </c>
      <c r="AS39" s="3" t="s">
        <v>53</v>
      </c>
      <c r="AT39" s="3">
        <v>44.0</v>
      </c>
      <c r="AV39" s="10" t="s">
        <v>54</v>
      </c>
      <c r="AX39" s="10" t="s">
        <v>55</v>
      </c>
      <c r="AY39" s="10" t="s">
        <v>56</v>
      </c>
      <c r="BA39" s="10" t="s">
        <v>57</v>
      </c>
      <c r="BB39" s="10" t="s">
        <v>56</v>
      </c>
      <c r="BD39" s="10" t="s">
        <v>58</v>
      </c>
      <c r="BE39" s="10" t="s">
        <v>56</v>
      </c>
      <c r="BG39" s="10" t="s">
        <v>59</v>
      </c>
      <c r="BH39" s="10" t="s">
        <v>56</v>
      </c>
      <c r="BJ39" s="10" t="s">
        <v>60</v>
      </c>
      <c r="BK39" s="10" t="s">
        <v>56</v>
      </c>
      <c r="BN39" s="4" t="s">
        <v>61</v>
      </c>
      <c r="CM39" s="3" t="s">
        <v>62</v>
      </c>
      <c r="CN39" s="3"/>
      <c r="CO39" s="3" t="s">
        <v>63</v>
      </c>
      <c r="CP39" s="3"/>
      <c r="CQ39" s="3" t="s">
        <v>64</v>
      </c>
      <c r="CR39" s="3"/>
      <c r="CS39" s="3" t="s">
        <v>65</v>
      </c>
      <c r="CT39" s="3"/>
      <c r="CU39" s="3" t="s">
        <v>66</v>
      </c>
      <c r="CV39" s="3"/>
      <c r="CW39" s="3" t="s">
        <v>67</v>
      </c>
      <c r="CX39" s="3"/>
      <c r="CY39" s="3" t="s">
        <v>68</v>
      </c>
      <c r="CZ39" s="3"/>
      <c r="DA39" s="3" t="s">
        <v>69</v>
      </c>
      <c r="DB39" s="3"/>
      <c r="DC39" s="3" t="s">
        <v>70</v>
      </c>
      <c r="DD39" s="3"/>
      <c r="DE39" s="3" t="s">
        <v>71</v>
      </c>
      <c r="DF39" s="3"/>
      <c r="DG39" s="3" t="s">
        <v>72</v>
      </c>
      <c r="DH39" s="3"/>
      <c r="DI39" s="3" t="s">
        <v>73</v>
      </c>
      <c r="DJ39" s="3"/>
    </row>
    <row r="40">
      <c r="B40" s="5" t="s">
        <v>2</v>
      </c>
      <c r="C40" s="6">
        <v>4.0</v>
      </c>
      <c r="D40" s="3">
        <v>4.0</v>
      </c>
      <c r="E40" s="6">
        <v>4.0</v>
      </c>
      <c r="F40" s="6">
        <v>2.0</v>
      </c>
      <c r="G40" s="6">
        <v>5.0</v>
      </c>
      <c r="H40" s="3">
        <v>3.0</v>
      </c>
      <c r="I40" s="6">
        <v>4.0</v>
      </c>
      <c r="J40" s="3">
        <v>3.0</v>
      </c>
      <c r="K40" s="3">
        <v>2.0</v>
      </c>
      <c r="L40" s="6">
        <v>5.0</v>
      </c>
      <c r="M40" s="6">
        <v>4.0</v>
      </c>
      <c r="N40" s="3">
        <v>5.0</v>
      </c>
      <c r="O40" s="6">
        <v>4.0</v>
      </c>
      <c r="P40" s="6">
        <v>3.0</v>
      </c>
      <c r="Q40" s="6">
        <v>5.0</v>
      </c>
      <c r="R40" s="6">
        <v>4.0</v>
      </c>
      <c r="S40" s="6">
        <v>5.0</v>
      </c>
      <c r="T40" s="3">
        <v>1.0</v>
      </c>
      <c r="U40" s="6">
        <v>3.0</v>
      </c>
      <c r="V40" s="6">
        <v>4.0</v>
      </c>
      <c r="W40" s="3">
        <v>3.0</v>
      </c>
      <c r="X40" s="6">
        <v>5.0</v>
      </c>
      <c r="Y40" s="3">
        <v>3.0</v>
      </c>
      <c r="Z40" s="3">
        <v>1.0</v>
      </c>
      <c r="AA40" s="6">
        <v>4.0</v>
      </c>
      <c r="AB40" s="6">
        <v>5.0</v>
      </c>
      <c r="AC40" s="3">
        <v>4.0</v>
      </c>
      <c r="AD40" s="6">
        <v>3.0</v>
      </c>
      <c r="AE40" s="6">
        <v>2.0</v>
      </c>
      <c r="AF40" s="6">
        <v>4.0</v>
      </c>
      <c r="AG40" s="3">
        <v>2.0</v>
      </c>
      <c r="AH40" s="6">
        <v>4.0</v>
      </c>
      <c r="AI40" s="6">
        <v>4.0</v>
      </c>
      <c r="AJ40" s="3">
        <v>1.0</v>
      </c>
      <c r="AK40" s="3">
        <v>5.0</v>
      </c>
      <c r="AL40" s="6">
        <v>4.0</v>
      </c>
      <c r="AM40" s="3">
        <v>4.0</v>
      </c>
      <c r="AN40" s="6">
        <v>3.0</v>
      </c>
      <c r="AO40" s="6">
        <v>2.0</v>
      </c>
      <c r="AP40" s="6">
        <v>5.0</v>
      </c>
      <c r="AQ40" s="3">
        <v>5.0</v>
      </c>
      <c r="AR40" s="6">
        <v>5.0</v>
      </c>
      <c r="AS40" s="3">
        <v>4.0</v>
      </c>
      <c r="AT40" s="6">
        <v>5.0</v>
      </c>
      <c r="AV40" s="6">
        <f t="shared" ref="AV40:AV74" si="1">STDEV(C40:AT40)</f>
        <v>1.199674022</v>
      </c>
      <c r="AX40" s="6">
        <f t="shared" ref="AX40:AX74" si="2">sum(C40,H40,M40,R40,W40,AB40,AG40,AL40)</f>
        <v>29</v>
      </c>
      <c r="AY40" s="6">
        <v>60.0</v>
      </c>
      <c r="BA40" s="6">
        <f t="shared" ref="BA40:BA74" si="3">sum(D40,I40,N40,S40,X40,AC40,AH40,AM40,AR40)</f>
        <v>40</v>
      </c>
      <c r="BB40" s="6">
        <v>85.0</v>
      </c>
      <c r="BD40" s="6">
        <f t="shared" ref="BD40:BD74" si="4">sum(E40,J40,O40,T40,Y40,AD40,AI40,AN40,AS40)</f>
        <v>29</v>
      </c>
      <c r="BE40" s="6">
        <v>30.0</v>
      </c>
      <c r="BG40" s="6">
        <f t="shared" ref="BG40:BG74" si="5">sum(F40,K40,P40,U40,Z40,AE40,AJ40,AO40)</f>
        <v>16</v>
      </c>
      <c r="BH40" s="6">
        <v>20.0</v>
      </c>
      <c r="BJ40" s="6">
        <f t="shared" ref="BJ40:BJ74" si="6">sum(G40,L40,Q40,V40,AA40,AF40,AK40,AP40,AQ40,AT40)</f>
        <v>47</v>
      </c>
      <c r="BK40" s="6">
        <v>95.0</v>
      </c>
      <c r="BN40" s="4" t="s">
        <v>74</v>
      </c>
      <c r="CK40" s="5" t="s">
        <v>2</v>
      </c>
      <c r="CM40" s="6">
        <f t="shared" ref="CM40:CM74" si="7">sum(C3:I3)</f>
        <v>0</v>
      </c>
      <c r="CN40" s="6"/>
      <c r="CO40" s="6">
        <f t="shared" ref="CO40:CO74" si="8">sum(J3:Q3)</f>
        <v>1</v>
      </c>
      <c r="CP40" s="6"/>
      <c r="CQ40" s="6">
        <f t="shared" ref="CQ40:CQ74" si="9">sum(R3:Z3)</f>
        <v>0</v>
      </c>
      <c r="CR40" s="6"/>
      <c r="CS40" s="4">
        <f t="shared" ref="CS40:CS74" si="10">sum(AA3:AH3)</f>
        <v>2</v>
      </c>
      <c r="CT40" s="6"/>
      <c r="CU40" s="6">
        <f t="shared" ref="CU40:CU74" si="11">sum(AI3:AP3)</f>
        <v>0</v>
      </c>
      <c r="CV40" s="6"/>
      <c r="CW40" s="6">
        <f t="shared" ref="CW40:CW74" si="12">sum(AQ3:AX3)</f>
        <v>1</v>
      </c>
      <c r="CX40" s="6"/>
      <c r="CY40" s="6">
        <f t="shared" ref="CY40:CY74" si="13">sum(AY3:BI3)</f>
        <v>1</v>
      </c>
      <c r="CZ40" s="6"/>
      <c r="DA40" s="6">
        <f t="shared" ref="DA40:DA74" si="14">sum(BJ3:BO3)</f>
        <v>0</v>
      </c>
      <c r="DB40" s="6"/>
      <c r="DC40" s="6">
        <f t="shared" ref="DC40:DC74" si="15">sum(BP3:BV3)</f>
        <v>1</v>
      </c>
      <c r="DD40" s="6"/>
      <c r="DE40" s="6">
        <f t="shared" ref="DE40:DE74" si="16">sum(BW3:CM3)</f>
        <v>1</v>
      </c>
      <c r="DF40" s="6"/>
      <c r="DG40" s="6">
        <f t="shared" ref="DG40:DG74" si="17">sum(CN3:DB3)</f>
        <v>0</v>
      </c>
      <c r="DH40" s="6"/>
      <c r="DI40" s="6">
        <f t="shared" ref="DI40:DI74" si="18">sum(DC3:DQ3)</f>
        <v>0</v>
      </c>
      <c r="DJ40" s="6"/>
      <c r="DL40" s="4" t="s">
        <v>75</v>
      </c>
      <c r="DP40" s="11" t="s">
        <v>2</v>
      </c>
    </row>
    <row r="41">
      <c r="B41" s="5" t="s">
        <v>3</v>
      </c>
      <c r="C41" s="6">
        <v>3.0</v>
      </c>
      <c r="D41" s="12">
        <v>2.0</v>
      </c>
      <c r="E41" s="6">
        <v>5.0</v>
      </c>
      <c r="F41" s="6">
        <v>2.0</v>
      </c>
      <c r="G41" s="6">
        <v>5.0</v>
      </c>
      <c r="H41" s="12">
        <v>2.0</v>
      </c>
      <c r="I41" s="6">
        <v>4.0</v>
      </c>
      <c r="J41" s="12">
        <v>1.0</v>
      </c>
      <c r="K41" s="12">
        <v>3.0</v>
      </c>
      <c r="L41" s="6">
        <v>5.0</v>
      </c>
      <c r="M41" s="6">
        <v>4.0</v>
      </c>
      <c r="N41" s="12">
        <v>4.0</v>
      </c>
      <c r="O41" s="6">
        <v>4.0</v>
      </c>
      <c r="P41" s="6">
        <v>3.0</v>
      </c>
      <c r="Q41" s="6">
        <v>4.0</v>
      </c>
      <c r="R41" s="6">
        <v>4.0</v>
      </c>
      <c r="S41" s="6">
        <v>3.0</v>
      </c>
      <c r="T41" s="12">
        <v>1.0</v>
      </c>
      <c r="U41" s="6">
        <v>3.0</v>
      </c>
      <c r="V41" s="6">
        <v>5.0</v>
      </c>
      <c r="W41" s="12">
        <v>3.0</v>
      </c>
      <c r="X41" s="6">
        <v>4.0</v>
      </c>
      <c r="Y41" s="12">
        <v>4.0</v>
      </c>
      <c r="Z41" s="12">
        <v>3.0</v>
      </c>
      <c r="AA41" s="6">
        <v>5.0</v>
      </c>
      <c r="AB41" s="6">
        <v>4.0</v>
      </c>
      <c r="AC41" s="12">
        <v>2.0</v>
      </c>
      <c r="AD41" s="6">
        <v>5.0</v>
      </c>
      <c r="AE41" s="6">
        <v>3.0</v>
      </c>
      <c r="AF41" s="6">
        <v>3.0</v>
      </c>
      <c r="AG41" s="12">
        <v>4.0</v>
      </c>
      <c r="AH41" s="6">
        <v>3.0</v>
      </c>
      <c r="AI41" s="6">
        <v>5.0</v>
      </c>
      <c r="AJ41" s="12">
        <v>3.0</v>
      </c>
      <c r="AK41" s="12">
        <v>5.0</v>
      </c>
      <c r="AL41" s="6">
        <v>3.0</v>
      </c>
      <c r="AM41" s="12">
        <v>4.0</v>
      </c>
      <c r="AN41" s="6">
        <v>5.0</v>
      </c>
      <c r="AO41" s="6">
        <v>3.0</v>
      </c>
      <c r="AP41" s="6">
        <v>5.0</v>
      </c>
      <c r="AQ41" s="12">
        <v>4.0</v>
      </c>
      <c r="AR41" s="6">
        <v>3.0</v>
      </c>
      <c r="AS41" s="12">
        <v>1.0</v>
      </c>
      <c r="AT41" s="6">
        <v>4.0</v>
      </c>
      <c r="AV41" s="6">
        <f t="shared" si="1"/>
        <v>1.151109401</v>
      </c>
      <c r="AX41" s="6">
        <f t="shared" si="2"/>
        <v>27</v>
      </c>
      <c r="AY41" s="6">
        <v>50.0</v>
      </c>
      <c r="BA41" s="6">
        <f t="shared" si="3"/>
        <v>29</v>
      </c>
      <c r="BB41" s="6">
        <v>16.0</v>
      </c>
      <c r="BD41" s="6">
        <f t="shared" si="4"/>
        <v>31</v>
      </c>
      <c r="BE41" s="6">
        <v>40.0</v>
      </c>
      <c r="BG41" s="6">
        <f t="shared" si="5"/>
        <v>23</v>
      </c>
      <c r="BH41" s="6">
        <v>70.0</v>
      </c>
      <c r="BJ41" s="6">
        <f t="shared" si="6"/>
        <v>45</v>
      </c>
      <c r="BK41" s="6">
        <v>90.0</v>
      </c>
      <c r="CK41" s="5" t="s">
        <v>3</v>
      </c>
      <c r="CM41" s="6">
        <f t="shared" si="7"/>
        <v>0</v>
      </c>
      <c r="CN41" s="6"/>
      <c r="CO41" s="6">
        <f t="shared" si="8"/>
        <v>2</v>
      </c>
      <c r="CP41" s="6"/>
      <c r="CQ41" s="4">
        <f t="shared" si="9"/>
        <v>3</v>
      </c>
      <c r="CR41" s="6"/>
      <c r="CS41" s="13">
        <f t="shared" si="10"/>
        <v>4</v>
      </c>
      <c r="CT41" s="6"/>
      <c r="CU41" s="6">
        <f t="shared" si="11"/>
        <v>2</v>
      </c>
      <c r="CV41" s="6"/>
      <c r="CW41" s="6">
        <f t="shared" si="12"/>
        <v>2</v>
      </c>
      <c r="CX41" s="6"/>
      <c r="CY41" s="6">
        <f t="shared" si="13"/>
        <v>1</v>
      </c>
      <c r="CZ41" s="6"/>
      <c r="DA41" s="6">
        <f t="shared" si="14"/>
        <v>0</v>
      </c>
      <c r="DB41" s="6"/>
      <c r="DC41" s="6">
        <f t="shared" si="15"/>
        <v>2</v>
      </c>
      <c r="DD41" s="6"/>
      <c r="DE41" s="6">
        <f t="shared" si="16"/>
        <v>3</v>
      </c>
      <c r="DF41" s="6"/>
      <c r="DG41" s="6">
        <f t="shared" si="17"/>
        <v>1</v>
      </c>
      <c r="DH41" s="6"/>
      <c r="DI41" s="6">
        <f t="shared" si="18"/>
        <v>0</v>
      </c>
      <c r="DJ41" s="6"/>
      <c r="DL41" s="4" t="s">
        <v>76</v>
      </c>
      <c r="DP41" s="5"/>
    </row>
    <row r="42">
      <c r="B42" s="5" t="s">
        <v>4</v>
      </c>
      <c r="C42" s="6">
        <v>5.0</v>
      </c>
      <c r="D42" s="12">
        <v>3.0</v>
      </c>
      <c r="E42" s="6">
        <v>4.0</v>
      </c>
      <c r="F42" s="6">
        <v>3.0</v>
      </c>
      <c r="G42" s="6">
        <v>5.0</v>
      </c>
      <c r="H42" s="12">
        <v>4.0</v>
      </c>
      <c r="I42" s="6">
        <v>4.0</v>
      </c>
      <c r="J42" s="12">
        <v>1.0</v>
      </c>
      <c r="K42" s="12">
        <v>2.0</v>
      </c>
      <c r="L42" s="6">
        <v>5.0</v>
      </c>
      <c r="M42" s="6">
        <v>1.0</v>
      </c>
      <c r="N42" s="12">
        <v>5.0</v>
      </c>
      <c r="O42" s="6">
        <v>3.0</v>
      </c>
      <c r="P42" s="6">
        <v>2.0</v>
      </c>
      <c r="Q42" s="6">
        <v>4.0</v>
      </c>
      <c r="R42" s="6">
        <v>3.0</v>
      </c>
      <c r="S42" s="6">
        <v>4.0</v>
      </c>
      <c r="T42" s="12">
        <v>1.0</v>
      </c>
      <c r="U42" s="6">
        <v>4.0</v>
      </c>
      <c r="V42" s="6">
        <v>5.0</v>
      </c>
      <c r="W42" s="12">
        <v>5.0</v>
      </c>
      <c r="X42" s="6">
        <v>4.0</v>
      </c>
      <c r="Y42" s="12">
        <v>2.0</v>
      </c>
      <c r="Z42" s="12">
        <v>2.0</v>
      </c>
      <c r="AA42" s="6">
        <v>4.0</v>
      </c>
      <c r="AB42" s="6">
        <v>4.0</v>
      </c>
      <c r="AC42" s="12">
        <v>4.0</v>
      </c>
      <c r="AD42" s="6">
        <v>4.0</v>
      </c>
      <c r="AE42" s="6">
        <v>3.0</v>
      </c>
      <c r="AF42" s="6">
        <v>3.0</v>
      </c>
      <c r="AG42" s="12">
        <v>5.0</v>
      </c>
      <c r="AH42" s="6">
        <v>4.0</v>
      </c>
      <c r="AI42" s="6">
        <v>3.0</v>
      </c>
      <c r="AJ42" s="12">
        <v>2.0</v>
      </c>
      <c r="AK42" s="12">
        <v>5.0</v>
      </c>
      <c r="AL42" s="6">
        <v>2.0</v>
      </c>
      <c r="AM42" s="12">
        <v>3.0</v>
      </c>
      <c r="AN42" s="6">
        <v>2.0</v>
      </c>
      <c r="AO42" s="6">
        <v>1.0</v>
      </c>
      <c r="AP42" s="6">
        <v>3.0</v>
      </c>
      <c r="AQ42" s="12">
        <v>2.0</v>
      </c>
      <c r="AR42" s="6">
        <v>4.0</v>
      </c>
      <c r="AS42" s="12">
        <v>1.0</v>
      </c>
      <c r="AT42" s="6">
        <v>1.0</v>
      </c>
      <c r="AV42" s="6">
        <f t="shared" si="1"/>
        <v>1.322076335</v>
      </c>
      <c r="AX42" s="6">
        <f t="shared" si="2"/>
        <v>29</v>
      </c>
      <c r="AY42" s="6">
        <v>60.0</v>
      </c>
      <c r="BA42" s="6">
        <f t="shared" si="3"/>
        <v>35</v>
      </c>
      <c r="BB42" s="6">
        <v>55.0</v>
      </c>
      <c r="BD42" s="6">
        <f t="shared" si="4"/>
        <v>21</v>
      </c>
      <c r="BE42" s="6"/>
      <c r="BG42" s="6">
        <f t="shared" si="5"/>
        <v>19</v>
      </c>
      <c r="BH42" s="6">
        <v>40.0</v>
      </c>
      <c r="BJ42" s="6">
        <f t="shared" si="6"/>
        <v>37</v>
      </c>
      <c r="BK42" s="6">
        <v>45.0</v>
      </c>
      <c r="BN42" s="10" t="s">
        <v>55</v>
      </c>
      <c r="BO42" s="10" t="s">
        <v>56</v>
      </c>
      <c r="BQ42" s="10" t="s">
        <v>57</v>
      </c>
      <c r="BR42" s="10" t="s">
        <v>56</v>
      </c>
      <c r="BT42" s="10" t="s">
        <v>58</v>
      </c>
      <c r="BU42" s="10" t="s">
        <v>56</v>
      </c>
      <c r="BW42" s="10" t="s">
        <v>59</v>
      </c>
      <c r="BX42" s="10" t="s">
        <v>56</v>
      </c>
      <c r="BZ42" s="10" t="s">
        <v>60</v>
      </c>
      <c r="CA42" s="10" t="s">
        <v>56</v>
      </c>
      <c r="CK42" s="5" t="s">
        <v>4</v>
      </c>
      <c r="CM42" s="6">
        <f t="shared" si="7"/>
        <v>0</v>
      </c>
      <c r="CN42" s="6"/>
      <c r="CO42" s="6">
        <f t="shared" si="8"/>
        <v>1</v>
      </c>
      <c r="CP42" s="6"/>
      <c r="CQ42" s="13">
        <f t="shared" si="9"/>
        <v>5</v>
      </c>
      <c r="CR42" s="6"/>
      <c r="CS42" s="4">
        <f t="shared" si="10"/>
        <v>3</v>
      </c>
      <c r="CT42" s="6"/>
      <c r="CU42" s="4">
        <f t="shared" si="11"/>
        <v>4</v>
      </c>
      <c r="CV42" s="6"/>
      <c r="CW42" s="6">
        <f t="shared" si="12"/>
        <v>0</v>
      </c>
      <c r="CX42" s="6"/>
      <c r="CY42" s="4">
        <f t="shared" si="13"/>
        <v>0</v>
      </c>
      <c r="CZ42" s="6"/>
      <c r="DA42" s="6">
        <f t="shared" si="14"/>
        <v>2</v>
      </c>
      <c r="DB42" s="6"/>
      <c r="DC42" s="6">
        <f t="shared" si="15"/>
        <v>1</v>
      </c>
      <c r="DD42" s="6"/>
      <c r="DE42" s="4">
        <f t="shared" si="16"/>
        <v>0</v>
      </c>
      <c r="DF42" s="6"/>
      <c r="DG42" s="4">
        <f t="shared" si="17"/>
        <v>1</v>
      </c>
      <c r="DH42" s="6"/>
      <c r="DI42" s="6">
        <f t="shared" si="18"/>
        <v>0</v>
      </c>
      <c r="DJ42" s="6"/>
      <c r="DL42" s="4" t="s">
        <v>77</v>
      </c>
      <c r="DP42" s="5"/>
    </row>
    <row r="43">
      <c r="B43" s="5" t="s">
        <v>5</v>
      </c>
      <c r="C43" s="6">
        <v>4.0</v>
      </c>
      <c r="D43" s="12">
        <v>3.0</v>
      </c>
      <c r="E43" s="6">
        <v>3.0</v>
      </c>
      <c r="F43" s="6">
        <v>3.0</v>
      </c>
      <c r="G43" s="6">
        <v>4.0</v>
      </c>
      <c r="H43" s="12">
        <v>4.0</v>
      </c>
      <c r="I43" s="6">
        <v>4.0</v>
      </c>
      <c r="J43" s="12">
        <v>2.0</v>
      </c>
      <c r="K43" s="12">
        <v>5.0</v>
      </c>
      <c r="L43" s="6">
        <v>5.0</v>
      </c>
      <c r="M43" s="6">
        <v>3.0</v>
      </c>
      <c r="N43" s="12">
        <v>5.0</v>
      </c>
      <c r="O43" s="6">
        <v>5.0</v>
      </c>
      <c r="P43" s="6">
        <v>3.0</v>
      </c>
      <c r="Q43" s="6">
        <v>2.0</v>
      </c>
      <c r="R43" s="6">
        <v>2.0</v>
      </c>
      <c r="S43" s="6">
        <v>4.0</v>
      </c>
      <c r="T43" s="12">
        <v>2.0</v>
      </c>
      <c r="U43" s="6">
        <v>5.0</v>
      </c>
      <c r="V43" s="6">
        <v>4.0</v>
      </c>
      <c r="W43" s="12">
        <v>5.0</v>
      </c>
      <c r="X43" s="6">
        <v>4.0</v>
      </c>
      <c r="Y43" s="12">
        <v>2.0</v>
      </c>
      <c r="Z43" s="12">
        <v>5.0</v>
      </c>
      <c r="AA43" s="6">
        <v>4.0</v>
      </c>
      <c r="AB43" s="6">
        <v>4.0</v>
      </c>
      <c r="AC43" s="12">
        <v>3.0</v>
      </c>
      <c r="AD43" s="6">
        <v>2.0</v>
      </c>
      <c r="AE43" s="6">
        <v>5.0</v>
      </c>
      <c r="AF43" s="6">
        <v>5.0</v>
      </c>
      <c r="AG43" s="12">
        <v>2.0</v>
      </c>
      <c r="AH43" s="6">
        <v>5.0</v>
      </c>
      <c r="AI43" s="6">
        <v>3.0</v>
      </c>
      <c r="AJ43" s="12">
        <v>3.0</v>
      </c>
      <c r="AK43" s="12">
        <v>5.0</v>
      </c>
      <c r="AL43" s="6">
        <v>3.0</v>
      </c>
      <c r="AM43" s="12">
        <v>2.0</v>
      </c>
      <c r="AN43" s="6">
        <v>4.0</v>
      </c>
      <c r="AO43" s="6">
        <v>4.0</v>
      </c>
      <c r="AP43" s="6">
        <v>5.0</v>
      </c>
      <c r="AQ43" s="12">
        <v>5.0</v>
      </c>
      <c r="AR43" s="6">
        <v>4.0</v>
      </c>
      <c r="AS43" s="12">
        <v>1.0</v>
      </c>
      <c r="AT43" s="6">
        <v>5.0</v>
      </c>
      <c r="AV43" s="6">
        <f t="shared" si="1"/>
        <v>1.176765912</v>
      </c>
      <c r="AX43" s="6">
        <f t="shared" si="2"/>
        <v>27</v>
      </c>
      <c r="AY43" s="6">
        <v>45.0</v>
      </c>
      <c r="BA43" s="6">
        <f t="shared" si="3"/>
        <v>34</v>
      </c>
      <c r="BB43" s="6">
        <v>45.0</v>
      </c>
      <c r="BD43" s="6">
        <f t="shared" si="4"/>
        <v>24</v>
      </c>
      <c r="BE43" s="6">
        <v>10.0</v>
      </c>
      <c r="BG43" s="6">
        <f t="shared" si="5"/>
        <v>33</v>
      </c>
      <c r="BH43" s="6">
        <v>95.0</v>
      </c>
      <c r="BJ43" s="6">
        <f t="shared" si="6"/>
        <v>44</v>
      </c>
      <c r="BK43" s="6">
        <v>80.0</v>
      </c>
      <c r="BN43">
        <f>SUM(S42,X42,AC42,AH42,AM42,AR42,AY42,BD42)</f>
        <v>104</v>
      </c>
      <c r="BO43">
        <v>55.0</v>
      </c>
      <c r="BQ43">
        <f>SUM(T42,Y42,AD42,AI42,AN42,AS42,AZ42,BE42,BJ42)</f>
        <v>50</v>
      </c>
      <c r="BR43">
        <v>13.0</v>
      </c>
      <c r="BT43">
        <f>SUM(U42,Z42,AE42,AJ42,AO42,AT42,BA42,BF42,BK42)</f>
        <v>93</v>
      </c>
      <c r="BU43">
        <v>73.0</v>
      </c>
      <c r="BW43">
        <f>SUM(V42,AA42,AF42,AK42,AP42,AU42,BB42,BG42)</f>
        <v>94</v>
      </c>
      <c r="BX43">
        <v>77.0</v>
      </c>
      <c r="BZ43">
        <f>SUM(W42,AB42,AG42,AL42,AQ42,AX42,BC42,BH42,BI42,BL42)</f>
        <v>87</v>
      </c>
      <c r="CA43">
        <v>40.0</v>
      </c>
      <c r="CK43" s="5" t="s">
        <v>5</v>
      </c>
      <c r="CM43" s="6">
        <f t="shared" si="7"/>
        <v>3</v>
      </c>
      <c r="CN43" s="6"/>
      <c r="CO43" s="6">
        <f t="shared" si="8"/>
        <v>2</v>
      </c>
      <c r="CP43" s="6"/>
      <c r="CQ43" s="6">
        <f t="shared" si="9"/>
        <v>2</v>
      </c>
      <c r="CR43" s="6"/>
      <c r="CS43" s="13">
        <f t="shared" si="10"/>
        <v>4</v>
      </c>
      <c r="CT43" s="6"/>
      <c r="CU43" s="13">
        <f t="shared" si="11"/>
        <v>7</v>
      </c>
      <c r="CV43" s="6"/>
      <c r="CW43" s="6">
        <f t="shared" si="12"/>
        <v>2</v>
      </c>
      <c r="CX43" s="6"/>
      <c r="CY43" s="13">
        <f t="shared" si="13"/>
        <v>7</v>
      </c>
      <c r="CZ43" s="6"/>
      <c r="DA43" s="6">
        <f t="shared" si="14"/>
        <v>0</v>
      </c>
      <c r="DB43" s="6"/>
      <c r="DC43" s="6">
        <f t="shared" si="15"/>
        <v>3</v>
      </c>
      <c r="DD43" s="6"/>
      <c r="DE43" s="13">
        <f t="shared" si="16"/>
        <v>5</v>
      </c>
      <c r="DF43" s="6"/>
      <c r="DG43" s="13">
        <f t="shared" si="17"/>
        <v>6</v>
      </c>
      <c r="DH43" s="6"/>
      <c r="DI43" s="6">
        <f t="shared" si="18"/>
        <v>1</v>
      </c>
      <c r="DJ43" s="6"/>
      <c r="DL43" s="4" t="s">
        <v>78</v>
      </c>
      <c r="DP43" s="11" t="s">
        <v>5</v>
      </c>
    </row>
    <row r="44">
      <c r="B44" s="5" t="s">
        <v>6</v>
      </c>
      <c r="C44" s="6">
        <v>3.0</v>
      </c>
      <c r="D44" s="12">
        <v>5.0</v>
      </c>
      <c r="E44" s="6">
        <v>3.0</v>
      </c>
      <c r="F44" s="6">
        <v>1.0</v>
      </c>
      <c r="G44" s="6">
        <v>4.0</v>
      </c>
      <c r="H44" s="12">
        <v>3.0</v>
      </c>
      <c r="I44" s="6">
        <v>4.0</v>
      </c>
      <c r="J44" s="12">
        <v>2.0</v>
      </c>
      <c r="K44" s="12">
        <v>2.0</v>
      </c>
      <c r="L44" s="6">
        <v>4.0</v>
      </c>
      <c r="M44" s="6">
        <v>3.0</v>
      </c>
      <c r="N44" s="12">
        <v>5.0</v>
      </c>
      <c r="O44" s="6">
        <v>5.0</v>
      </c>
      <c r="P44" s="6">
        <v>2.0</v>
      </c>
      <c r="Q44" s="6">
        <v>4.0</v>
      </c>
      <c r="R44" s="6">
        <v>3.0</v>
      </c>
      <c r="S44" s="6">
        <v>4.0</v>
      </c>
      <c r="T44" s="12">
        <v>1.0</v>
      </c>
      <c r="U44" s="6">
        <v>3.0</v>
      </c>
      <c r="V44" s="6">
        <v>4.0</v>
      </c>
      <c r="W44" s="12">
        <v>5.0</v>
      </c>
      <c r="X44" s="6">
        <v>4.0</v>
      </c>
      <c r="Y44" s="12">
        <v>4.0</v>
      </c>
      <c r="Z44" s="12">
        <v>2.0</v>
      </c>
      <c r="AA44" s="6">
        <v>5.0</v>
      </c>
      <c r="AB44" s="6">
        <v>4.0</v>
      </c>
      <c r="AC44" s="12">
        <v>3.0</v>
      </c>
      <c r="AD44" s="6">
        <v>4.0</v>
      </c>
      <c r="AE44" s="6">
        <v>3.0</v>
      </c>
      <c r="AF44" s="6">
        <v>4.0</v>
      </c>
      <c r="AG44" s="12">
        <v>3.0</v>
      </c>
      <c r="AH44" s="6">
        <v>3.0</v>
      </c>
      <c r="AI44" s="6">
        <v>4.0</v>
      </c>
      <c r="AJ44" s="12">
        <v>2.0</v>
      </c>
      <c r="AK44" s="12">
        <v>5.0</v>
      </c>
      <c r="AL44" s="6">
        <v>5.0</v>
      </c>
      <c r="AM44" s="12">
        <v>3.0</v>
      </c>
      <c r="AN44" s="6">
        <v>4.0</v>
      </c>
      <c r="AO44" s="6">
        <v>2.0</v>
      </c>
      <c r="AP44" s="6">
        <v>4.0</v>
      </c>
      <c r="AQ44" s="12">
        <v>5.0</v>
      </c>
      <c r="AR44" s="6">
        <v>4.0</v>
      </c>
      <c r="AS44" s="12">
        <v>2.0</v>
      </c>
      <c r="AT44" s="6">
        <v>3.0</v>
      </c>
      <c r="AV44" s="6">
        <f t="shared" si="1"/>
        <v>1.109253792</v>
      </c>
      <c r="AX44" s="6">
        <f t="shared" si="2"/>
        <v>29</v>
      </c>
      <c r="AY44" s="6">
        <v>60.0</v>
      </c>
      <c r="BA44" s="6">
        <f t="shared" si="3"/>
        <v>35</v>
      </c>
      <c r="BB44" s="6">
        <v>55.0</v>
      </c>
      <c r="BD44" s="6">
        <f t="shared" si="4"/>
        <v>29</v>
      </c>
      <c r="BE44" s="6">
        <v>30.0</v>
      </c>
      <c r="BG44" s="6">
        <f t="shared" si="5"/>
        <v>17</v>
      </c>
      <c r="BH44" s="6">
        <v>25.0</v>
      </c>
      <c r="BJ44" s="6">
        <f t="shared" si="6"/>
        <v>42</v>
      </c>
      <c r="BK44" s="6">
        <v>75.0</v>
      </c>
      <c r="CK44" s="5" t="s">
        <v>6</v>
      </c>
      <c r="CM44" s="6">
        <f t="shared" si="7"/>
        <v>1</v>
      </c>
      <c r="CN44" s="6"/>
      <c r="CO44" s="6">
        <f t="shared" si="8"/>
        <v>0</v>
      </c>
      <c r="CP44" s="6"/>
      <c r="CQ44" s="6">
        <f t="shared" si="9"/>
        <v>2</v>
      </c>
      <c r="CR44" s="6"/>
      <c r="CS44" s="6">
        <f t="shared" si="10"/>
        <v>2</v>
      </c>
      <c r="CT44" s="6"/>
      <c r="CU44" s="6">
        <f t="shared" si="11"/>
        <v>0</v>
      </c>
      <c r="CV44" s="6"/>
      <c r="CW44" s="6">
        <f t="shared" si="12"/>
        <v>0</v>
      </c>
      <c r="CX44" s="6"/>
      <c r="CY44" s="6">
        <f t="shared" si="13"/>
        <v>1</v>
      </c>
      <c r="CZ44" s="6"/>
      <c r="DA44" s="6">
        <f t="shared" si="14"/>
        <v>0</v>
      </c>
      <c r="DB44" s="6"/>
      <c r="DC44" s="6">
        <f t="shared" si="15"/>
        <v>1</v>
      </c>
      <c r="DD44" s="6"/>
      <c r="DE44" s="6">
        <f t="shared" si="16"/>
        <v>4</v>
      </c>
      <c r="DF44" s="6"/>
      <c r="DG44" s="6">
        <f t="shared" si="17"/>
        <v>0</v>
      </c>
      <c r="DH44" s="6"/>
      <c r="DI44" s="6">
        <f t="shared" si="18"/>
        <v>0</v>
      </c>
      <c r="DJ44" s="6"/>
      <c r="DL44" s="4" t="s">
        <v>79</v>
      </c>
      <c r="DP44" s="11" t="s">
        <v>6</v>
      </c>
    </row>
    <row r="45">
      <c r="B45" s="5" t="s">
        <v>7</v>
      </c>
      <c r="C45" s="6">
        <v>4.0</v>
      </c>
      <c r="D45" s="12">
        <v>4.0</v>
      </c>
      <c r="E45" s="6">
        <v>1.0</v>
      </c>
      <c r="F45" s="6">
        <v>3.0</v>
      </c>
      <c r="G45" s="6">
        <v>4.0</v>
      </c>
      <c r="H45" s="12">
        <v>2.0</v>
      </c>
      <c r="I45" s="6">
        <v>3.0</v>
      </c>
      <c r="J45" s="12">
        <v>1.0</v>
      </c>
      <c r="K45" s="12">
        <v>2.0</v>
      </c>
      <c r="L45" s="6">
        <v>5.0</v>
      </c>
      <c r="M45" s="6">
        <v>2.0</v>
      </c>
      <c r="N45" s="12">
        <v>5.0</v>
      </c>
      <c r="O45" s="6">
        <v>1.0</v>
      </c>
      <c r="P45" s="6">
        <v>2.0</v>
      </c>
      <c r="Q45" s="6">
        <v>4.0</v>
      </c>
      <c r="R45" s="6">
        <v>1.0</v>
      </c>
      <c r="S45" s="6">
        <v>5.0</v>
      </c>
      <c r="T45" s="12">
        <v>1.0</v>
      </c>
      <c r="U45" s="6">
        <v>1.0</v>
      </c>
      <c r="V45" s="6">
        <v>5.0</v>
      </c>
      <c r="W45" s="12">
        <v>4.0</v>
      </c>
      <c r="X45" s="6">
        <v>2.0</v>
      </c>
      <c r="Y45" s="12">
        <v>1.0</v>
      </c>
      <c r="Z45" s="12">
        <v>1.0</v>
      </c>
      <c r="AA45" s="6">
        <v>4.0</v>
      </c>
      <c r="AB45" s="6">
        <v>3.0</v>
      </c>
      <c r="AC45" s="12">
        <v>4.0</v>
      </c>
      <c r="AD45" s="6">
        <v>1.0</v>
      </c>
      <c r="AE45" s="6">
        <v>2.0</v>
      </c>
      <c r="AF45" s="6">
        <v>4.0</v>
      </c>
      <c r="AG45" s="12">
        <v>3.0</v>
      </c>
      <c r="AH45" s="6">
        <v>4.0</v>
      </c>
      <c r="AI45" s="6">
        <v>3.0</v>
      </c>
      <c r="AJ45" s="12">
        <v>2.0</v>
      </c>
      <c r="AK45" s="12">
        <v>4.0</v>
      </c>
      <c r="AL45" s="6">
        <v>5.0</v>
      </c>
      <c r="AM45" s="12">
        <v>3.0</v>
      </c>
      <c r="AN45" s="6">
        <v>2.0</v>
      </c>
      <c r="AO45" s="6">
        <v>2.0</v>
      </c>
      <c r="AP45" s="6">
        <v>5.0</v>
      </c>
      <c r="AQ45" s="12">
        <v>5.0</v>
      </c>
      <c r="AR45" s="6">
        <v>5.0</v>
      </c>
      <c r="AS45" s="12">
        <v>2.0</v>
      </c>
      <c r="AT45" s="6">
        <v>2.0</v>
      </c>
      <c r="AV45" s="6">
        <f t="shared" si="1"/>
        <v>1.437014464</v>
      </c>
      <c r="AX45" s="6">
        <f t="shared" si="2"/>
        <v>24</v>
      </c>
      <c r="AY45" s="6">
        <v>33.0</v>
      </c>
      <c r="BA45" s="6">
        <f t="shared" si="3"/>
        <v>35</v>
      </c>
      <c r="BB45" s="6">
        <v>55.0</v>
      </c>
      <c r="BD45" s="6">
        <f t="shared" si="4"/>
        <v>13</v>
      </c>
      <c r="BE45" s="6"/>
      <c r="BG45" s="6">
        <f t="shared" si="5"/>
        <v>15</v>
      </c>
      <c r="BH45" s="6">
        <v>15.0</v>
      </c>
      <c r="BJ45" s="6">
        <f t="shared" si="6"/>
        <v>42</v>
      </c>
      <c r="BK45" s="6">
        <v>75.0</v>
      </c>
      <c r="CK45" s="5" t="s">
        <v>7</v>
      </c>
      <c r="CM45" s="6">
        <f t="shared" si="7"/>
        <v>1</v>
      </c>
      <c r="CN45" s="6"/>
      <c r="CO45" s="6">
        <f t="shared" si="8"/>
        <v>2</v>
      </c>
      <c r="CP45" s="6"/>
      <c r="CQ45" s="6">
        <f t="shared" si="9"/>
        <v>2</v>
      </c>
      <c r="CR45" s="6"/>
      <c r="CS45" s="6">
        <f t="shared" si="10"/>
        <v>3</v>
      </c>
      <c r="CT45" s="6"/>
      <c r="CU45" s="6">
        <f t="shared" si="11"/>
        <v>0</v>
      </c>
      <c r="CV45" s="6"/>
      <c r="CW45" s="6">
        <f t="shared" si="12"/>
        <v>1</v>
      </c>
      <c r="CX45" s="6"/>
      <c r="CY45" s="6">
        <f t="shared" si="13"/>
        <v>0</v>
      </c>
      <c r="CZ45" s="6"/>
      <c r="DA45" s="6">
        <f t="shared" si="14"/>
        <v>2</v>
      </c>
      <c r="DB45" s="6"/>
      <c r="DC45" s="6">
        <f t="shared" si="15"/>
        <v>3</v>
      </c>
      <c r="DD45" s="6"/>
      <c r="DE45" s="6">
        <f t="shared" si="16"/>
        <v>2</v>
      </c>
      <c r="DF45" s="6"/>
      <c r="DG45" s="6">
        <f t="shared" si="17"/>
        <v>0</v>
      </c>
      <c r="DH45" s="6"/>
      <c r="DI45" s="6">
        <f t="shared" si="18"/>
        <v>2</v>
      </c>
      <c r="DJ45" s="6"/>
      <c r="DL45" s="4" t="s">
        <v>80</v>
      </c>
      <c r="DP45" s="5"/>
    </row>
    <row r="46">
      <c r="B46" s="5" t="s">
        <v>8</v>
      </c>
      <c r="C46" s="6">
        <v>3.0</v>
      </c>
      <c r="D46" s="12">
        <v>4.0</v>
      </c>
      <c r="E46" s="6">
        <v>4.0</v>
      </c>
      <c r="F46" s="6">
        <v>1.0</v>
      </c>
      <c r="G46" s="6">
        <v>4.0</v>
      </c>
      <c r="H46" s="12">
        <v>4.0</v>
      </c>
      <c r="I46" s="6">
        <v>4.0</v>
      </c>
      <c r="J46" s="12">
        <v>3.0</v>
      </c>
      <c r="K46" s="12">
        <v>3.0</v>
      </c>
      <c r="L46" s="6">
        <v>4.0</v>
      </c>
      <c r="M46" s="6">
        <v>3.0</v>
      </c>
      <c r="N46" s="12">
        <v>4.0</v>
      </c>
      <c r="O46" s="6">
        <v>4.0</v>
      </c>
      <c r="P46" s="6">
        <v>3.0</v>
      </c>
      <c r="Q46" s="6">
        <v>4.0</v>
      </c>
      <c r="R46" s="6">
        <v>4.0</v>
      </c>
      <c r="S46" s="6">
        <v>4.0</v>
      </c>
      <c r="T46" s="12">
        <v>3.0</v>
      </c>
      <c r="U46" s="6">
        <v>3.0</v>
      </c>
      <c r="V46" s="6">
        <v>4.0</v>
      </c>
      <c r="W46" s="12">
        <v>3.0</v>
      </c>
      <c r="X46" s="6">
        <v>4.0</v>
      </c>
      <c r="Y46" s="12">
        <v>3.0</v>
      </c>
      <c r="Z46" s="12">
        <v>4.0</v>
      </c>
      <c r="AA46" s="6">
        <v>4.0</v>
      </c>
      <c r="AB46" s="6">
        <v>3.0</v>
      </c>
      <c r="AC46" s="12">
        <v>4.0</v>
      </c>
      <c r="AD46" s="6">
        <v>4.0</v>
      </c>
      <c r="AE46" s="6">
        <v>3.0</v>
      </c>
      <c r="AF46" s="6">
        <v>4.0</v>
      </c>
      <c r="AG46" s="12">
        <v>4.0</v>
      </c>
      <c r="AH46" s="6">
        <v>4.0</v>
      </c>
      <c r="AI46" s="6">
        <v>4.0</v>
      </c>
      <c r="AJ46" s="12">
        <v>1.0</v>
      </c>
      <c r="AK46" s="12">
        <v>4.0</v>
      </c>
      <c r="AL46" s="6">
        <v>4.0</v>
      </c>
      <c r="AM46" s="12">
        <v>4.0</v>
      </c>
      <c r="AN46" s="6">
        <v>4.0</v>
      </c>
      <c r="AO46" s="6">
        <v>2.0</v>
      </c>
      <c r="AP46" s="6">
        <v>4.0</v>
      </c>
      <c r="AQ46" s="12">
        <v>5.0</v>
      </c>
      <c r="AR46" s="6">
        <v>4.0</v>
      </c>
      <c r="AS46" s="12">
        <v>2.0</v>
      </c>
      <c r="AT46" s="6">
        <v>4.0</v>
      </c>
      <c r="AV46" s="6">
        <f t="shared" si="1"/>
        <v>0.8199417295</v>
      </c>
      <c r="AX46" s="6">
        <f t="shared" si="2"/>
        <v>28</v>
      </c>
      <c r="AY46" s="6">
        <v>50.0</v>
      </c>
      <c r="BA46" s="6">
        <f t="shared" si="3"/>
        <v>36</v>
      </c>
      <c r="BB46" s="6">
        <v>60.0</v>
      </c>
      <c r="BD46" s="6">
        <f t="shared" si="4"/>
        <v>31</v>
      </c>
      <c r="BE46" s="6">
        <v>40.0</v>
      </c>
      <c r="BG46" s="6">
        <f t="shared" si="5"/>
        <v>20</v>
      </c>
      <c r="BH46" s="6">
        <v>30.0</v>
      </c>
      <c r="BJ46" s="6">
        <f t="shared" si="6"/>
        <v>41</v>
      </c>
      <c r="BK46" s="6">
        <v>70.0</v>
      </c>
      <c r="CK46" s="5" t="s">
        <v>8</v>
      </c>
      <c r="CM46" s="6">
        <f t="shared" si="7"/>
        <v>1</v>
      </c>
      <c r="CN46" s="6"/>
      <c r="CO46" s="6">
        <f t="shared" si="8"/>
        <v>1</v>
      </c>
      <c r="CP46" s="6"/>
      <c r="CQ46" s="6">
        <f t="shared" si="9"/>
        <v>3</v>
      </c>
      <c r="CR46" s="6"/>
      <c r="CS46" s="6">
        <f t="shared" si="10"/>
        <v>1</v>
      </c>
      <c r="CT46" s="6"/>
      <c r="CU46" s="6">
        <f t="shared" si="11"/>
        <v>0</v>
      </c>
      <c r="CV46" s="6"/>
      <c r="CW46" s="6">
        <f t="shared" si="12"/>
        <v>0</v>
      </c>
      <c r="CX46" s="6"/>
      <c r="CY46" s="6">
        <f t="shared" si="13"/>
        <v>0</v>
      </c>
      <c r="CZ46" s="6"/>
      <c r="DA46" s="6">
        <f t="shared" si="14"/>
        <v>0</v>
      </c>
      <c r="DB46" s="6"/>
      <c r="DC46" s="6">
        <f t="shared" si="15"/>
        <v>1</v>
      </c>
      <c r="DD46" s="6"/>
      <c r="DE46" s="6">
        <f t="shared" si="16"/>
        <v>2</v>
      </c>
      <c r="DF46" s="6"/>
      <c r="DG46" s="6">
        <f t="shared" si="17"/>
        <v>1</v>
      </c>
      <c r="DH46" s="6"/>
      <c r="DI46" s="4">
        <f t="shared" si="18"/>
        <v>0</v>
      </c>
      <c r="DJ46" s="6"/>
      <c r="DL46" s="4" t="s">
        <v>81</v>
      </c>
      <c r="DP46" s="11" t="s">
        <v>8</v>
      </c>
    </row>
    <row r="47">
      <c r="B47" s="5" t="s">
        <v>9</v>
      </c>
      <c r="C47" s="6">
        <v>3.0</v>
      </c>
      <c r="D47" s="12">
        <v>4.0</v>
      </c>
      <c r="E47" s="6">
        <v>3.0</v>
      </c>
      <c r="F47" s="6">
        <v>2.0</v>
      </c>
      <c r="G47" s="6">
        <v>4.0</v>
      </c>
      <c r="H47" s="12">
        <v>2.0</v>
      </c>
      <c r="I47" s="6">
        <v>4.0</v>
      </c>
      <c r="J47" s="12">
        <v>2.0</v>
      </c>
      <c r="K47" s="12">
        <v>1.0</v>
      </c>
      <c r="L47" s="6">
        <v>5.0</v>
      </c>
      <c r="M47" s="6">
        <v>2.0</v>
      </c>
      <c r="N47" s="12">
        <v>5.0</v>
      </c>
      <c r="O47" s="6">
        <v>2.0</v>
      </c>
      <c r="P47" s="6">
        <v>3.0</v>
      </c>
      <c r="Q47" s="6">
        <v>4.0</v>
      </c>
      <c r="R47" s="6">
        <v>3.0</v>
      </c>
      <c r="S47" s="6">
        <v>3.0</v>
      </c>
      <c r="T47" s="12">
        <v>2.0</v>
      </c>
      <c r="U47" s="6">
        <v>2.0</v>
      </c>
      <c r="V47" s="6">
        <v>4.0</v>
      </c>
      <c r="W47" s="12">
        <v>3.0</v>
      </c>
      <c r="X47" s="6">
        <v>4.0</v>
      </c>
      <c r="Y47" s="12">
        <v>2.0</v>
      </c>
      <c r="Z47" s="12">
        <v>1.0</v>
      </c>
      <c r="AA47" s="6">
        <v>4.0</v>
      </c>
      <c r="AB47" s="6">
        <v>4.0</v>
      </c>
      <c r="AC47" s="12">
        <v>2.0</v>
      </c>
      <c r="AD47" s="6">
        <v>3.0</v>
      </c>
      <c r="AE47" s="6">
        <v>2.0</v>
      </c>
      <c r="AF47" s="6">
        <v>5.0</v>
      </c>
      <c r="AG47" s="12">
        <v>2.0</v>
      </c>
      <c r="AH47" s="6">
        <v>4.0</v>
      </c>
      <c r="AI47" s="6">
        <v>3.0</v>
      </c>
      <c r="AJ47" s="12">
        <v>2.0</v>
      </c>
      <c r="AK47" s="12">
        <v>4.0</v>
      </c>
      <c r="AL47" s="6">
        <v>4.0</v>
      </c>
      <c r="AM47" s="12">
        <v>2.0</v>
      </c>
      <c r="AN47" s="6">
        <v>4.0</v>
      </c>
      <c r="AO47" s="6">
        <v>2.0</v>
      </c>
      <c r="AP47" s="6">
        <v>4.0</v>
      </c>
      <c r="AQ47" s="12">
        <v>5.0</v>
      </c>
      <c r="AR47" s="6">
        <v>4.0</v>
      </c>
      <c r="AS47" s="12">
        <v>4.0</v>
      </c>
      <c r="AT47" s="6">
        <v>5.0</v>
      </c>
      <c r="AV47" s="6">
        <f t="shared" si="1"/>
        <v>1.140036348</v>
      </c>
      <c r="AX47" s="6">
        <f t="shared" si="2"/>
        <v>23</v>
      </c>
      <c r="AY47" s="6">
        <v>30.0</v>
      </c>
      <c r="BA47" s="6">
        <f t="shared" si="3"/>
        <v>32</v>
      </c>
      <c r="BB47" s="6">
        <v>30.0</v>
      </c>
      <c r="BD47" s="6">
        <f t="shared" si="4"/>
        <v>25</v>
      </c>
      <c r="BE47" s="6">
        <v>10.0</v>
      </c>
      <c r="BG47" s="6">
        <f t="shared" si="5"/>
        <v>15</v>
      </c>
      <c r="BH47" s="6">
        <v>15.0</v>
      </c>
      <c r="BJ47" s="6">
        <f t="shared" si="6"/>
        <v>44</v>
      </c>
      <c r="BK47" s="6">
        <v>85.0</v>
      </c>
      <c r="CK47" s="5" t="s">
        <v>9</v>
      </c>
      <c r="CM47" s="6">
        <f t="shared" si="7"/>
        <v>1</v>
      </c>
      <c r="CN47" s="6"/>
      <c r="CO47" s="6">
        <f t="shared" si="8"/>
        <v>1</v>
      </c>
      <c r="CP47" s="6"/>
      <c r="CQ47" s="6">
        <f t="shared" si="9"/>
        <v>2</v>
      </c>
      <c r="CR47" s="6"/>
      <c r="CS47" s="6">
        <f t="shared" si="10"/>
        <v>2</v>
      </c>
      <c r="CT47" s="6"/>
      <c r="CU47" s="6">
        <f t="shared" si="11"/>
        <v>2</v>
      </c>
      <c r="CV47" s="6"/>
      <c r="CW47" s="6">
        <f t="shared" si="12"/>
        <v>1</v>
      </c>
      <c r="CX47" s="6"/>
      <c r="CY47" s="6">
        <f t="shared" si="13"/>
        <v>0</v>
      </c>
      <c r="CZ47" s="6"/>
      <c r="DA47" s="6">
        <f t="shared" si="14"/>
        <v>2</v>
      </c>
      <c r="DB47" s="6"/>
      <c r="DC47" s="6">
        <f t="shared" si="15"/>
        <v>3</v>
      </c>
      <c r="DD47" s="6"/>
      <c r="DE47" s="6">
        <f t="shared" si="16"/>
        <v>1</v>
      </c>
      <c r="DF47" s="6"/>
      <c r="DG47" s="6">
        <f t="shared" si="17"/>
        <v>0</v>
      </c>
      <c r="DH47" s="6"/>
      <c r="DI47" s="13">
        <f t="shared" si="18"/>
        <v>4</v>
      </c>
      <c r="DJ47" s="6"/>
      <c r="DL47" s="4" t="s">
        <v>82</v>
      </c>
      <c r="DP47" s="11" t="s">
        <v>9</v>
      </c>
    </row>
    <row r="48">
      <c r="B48" s="5" t="s">
        <v>10</v>
      </c>
      <c r="C48" s="6">
        <v>5.0</v>
      </c>
      <c r="D48" s="12">
        <v>4.0</v>
      </c>
      <c r="E48" s="6">
        <v>4.0</v>
      </c>
      <c r="F48" s="6">
        <v>2.0</v>
      </c>
      <c r="G48" s="6">
        <v>4.0</v>
      </c>
      <c r="H48" s="12">
        <v>3.0</v>
      </c>
      <c r="I48" s="6">
        <v>4.0</v>
      </c>
      <c r="J48" s="12">
        <v>2.0</v>
      </c>
      <c r="K48" s="12">
        <v>4.0</v>
      </c>
      <c r="L48" s="6">
        <v>5.0</v>
      </c>
      <c r="M48" s="6">
        <v>4.0</v>
      </c>
      <c r="N48" s="12">
        <v>4.0</v>
      </c>
      <c r="O48" s="6">
        <v>3.0</v>
      </c>
      <c r="P48" s="6">
        <v>3.0</v>
      </c>
      <c r="Q48" s="6">
        <v>4.0</v>
      </c>
      <c r="R48" s="6">
        <v>3.0</v>
      </c>
      <c r="S48" s="6">
        <v>4.0</v>
      </c>
      <c r="T48" s="12">
        <v>3.0</v>
      </c>
      <c r="U48" s="6">
        <v>2.0</v>
      </c>
      <c r="V48" s="6">
        <v>4.0</v>
      </c>
      <c r="W48" s="12">
        <v>5.0</v>
      </c>
      <c r="X48" s="6">
        <v>4.0</v>
      </c>
      <c r="Y48" s="12">
        <v>3.0</v>
      </c>
      <c r="Z48" s="12">
        <v>2.0</v>
      </c>
      <c r="AA48" s="6">
        <v>4.0</v>
      </c>
      <c r="AB48" s="6">
        <v>3.0</v>
      </c>
      <c r="AC48" s="12">
        <v>4.0</v>
      </c>
      <c r="AD48" s="6">
        <v>4.0</v>
      </c>
      <c r="AE48" s="6">
        <v>3.0</v>
      </c>
      <c r="AF48" s="6">
        <v>4.0</v>
      </c>
      <c r="AG48" s="12">
        <v>2.0</v>
      </c>
      <c r="AH48" s="6">
        <v>4.0</v>
      </c>
      <c r="AI48" s="6">
        <v>3.0</v>
      </c>
      <c r="AJ48" s="12">
        <v>3.0</v>
      </c>
      <c r="AK48" s="12">
        <v>4.0</v>
      </c>
      <c r="AL48" s="6">
        <v>3.0</v>
      </c>
      <c r="AM48" s="12">
        <v>3.0</v>
      </c>
      <c r="AN48" s="6">
        <v>3.0</v>
      </c>
      <c r="AO48" s="6">
        <v>3.0</v>
      </c>
      <c r="AP48" s="6">
        <v>4.0</v>
      </c>
      <c r="AQ48" s="12">
        <v>4.0</v>
      </c>
      <c r="AR48" s="6">
        <v>4.0</v>
      </c>
      <c r="AS48" s="12">
        <v>2.0</v>
      </c>
      <c r="AT48" s="6">
        <v>5.0</v>
      </c>
      <c r="AV48" s="6">
        <f t="shared" si="1"/>
        <v>0.8490761053</v>
      </c>
      <c r="AX48" s="6">
        <f t="shared" si="2"/>
        <v>28</v>
      </c>
      <c r="AY48" s="6"/>
      <c r="BA48" s="6">
        <f t="shared" si="3"/>
        <v>35</v>
      </c>
      <c r="BB48" s="6"/>
      <c r="BD48" s="6">
        <f t="shared" si="4"/>
        <v>27</v>
      </c>
      <c r="BE48" s="6"/>
      <c r="BG48" s="6">
        <f t="shared" si="5"/>
        <v>22</v>
      </c>
      <c r="BH48" s="6"/>
      <c r="BJ48" s="6">
        <f t="shared" si="6"/>
        <v>42</v>
      </c>
      <c r="BK48" s="6"/>
      <c r="CK48" s="5" t="s">
        <v>10</v>
      </c>
      <c r="CM48" s="6">
        <f t="shared" si="7"/>
        <v>2</v>
      </c>
      <c r="CN48" s="6"/>
      <c r="CO48" s="6">
        <f t="shared" si="8"/>
        <v>1</v>
      </c>
      <c r="CP48" s="6"/>
      <c r="CQ48" s="6">
        <f t="shared" si="9"/>
        <v>0</v>
      </c>
      <c r="CR48" s="6"/>
      <c r="CS48" s="6">
        <f t="shared" si="10"/>
        <v>0</v>
      </c>
      <c r="CT48" s="6"/>
      <c r="CU48" s="6">
        <f t="shared" si="11"/>
        <v>0</v>
      </c>
      <c r="CV48" s="6"/>
      <c r="CW48" s="6">
        <f t="shared" si="12"/>
        <v>0</v>
      </c>
      <c r="CX48" s="6"/>
      <c r="CY48" s="6">
        <f t="shared" si="13"/>
        <v>1</v>
      </c>
      <c r="CZ48" s="6"/>
      <c r="DA48" s="6">
        <f t="shared" si="14"/>
        <v>0</v>
      </c>
      <c r="DB48" s="6"/>
      <c r="DC48" s="6">
        <f t="shared" si="15"/>
        <v>3</v>
      </c>
      <c r="DD48" s="6"/>
      <c r="DE48" s="6">
        <f t="shared" si="16"/>
        <v>4</v>
      </c>
      <c r="DF48" s="6"/>
      <c r="DG48" s="6">
        <f t="shared" si="17"/>
        <v>1</v>
      </c>
      <c r="DH48" s="6"/>
      <c r="DI48" s="6">
        <f t="shared" si="18"/>
        <v>0</v>
      </c>
      <c r="DJ48" s="6"/>
      <c r="DL48" s="4" t="s">
        <v>83</v>
      </c>
      <c r="DP48" s="5"/>
    </row>
    <row r="49">
      <c r="B49" s="5" t="s">
        <v>11</v>
      </c>
      <c r="C49" s="6">
        <v>4.0</v>
      </c>
      <c r="D49" s="12">
        <v>3.0</v>
      </c>
      <c r="E49" s="6">
        <v>4.0</v>
      </c>
      <c r="F49" s="6">
        <v>2.0</v>
      </c>
      <c r="G49" s="6">
        <v>4.0</v>
      </c>
      <c r="H49" s="12">
        <v>2.0</v>
      </c>
      <c r="I49" s="6">
        <v>4.0</v>
      </c>
      <c r="J49" s="12">
        <v>2.0</v>
      </c>
      <c r="K49" s="12">
        <v>3.0</v>
      </c>
      <c r="L49" s="6">
        <v>3.0</v>
      </c>
      <c r="M49" s="6">
        <v>3.0</v>
      </c>
      <c r="N49" s="12">
        <v>4.0</v>
      </c>
      <c r="O49" s="6">
        <v>4.0</v>
      </c>
      <c r="P49" s="6">
        <v>4.0</v>
      </c>
      <c r="Q49" s="6">
        <v>3.0</v>
      </c>
      <c r="R49" s="6">
        <v>3.0</v>
      </c>
      <c r="S49" s="6">
        <v>4.0</v>
      </c>
      <c r="T49" s="12">
        <v>2.0</v>
      </c>
      <c r="U49" s="6">
        <v>4.0</v>
      </c>
      <c r="V49" s="6">
        <v>4.0</v>
      </c>
      <c r="W49" s="12">
        <v>3.0</v>
      </c>
      <c r="X49" s="6">
        <v>4.0</v>
      </c>
      <c r="Y49" s="12">
        <v>4.0</v>
      </c>
      <c r="Z49" s="12">
        <v>2.0</v>
      </c>
      <c r="AA49" s="6">
        <v>3.0</v>
      </c>
      <c r="AB49" s="6">
        <v>3.0</v>
      </c>
      <c r="AC49" s="12">
        <v>4.0</v>
      </c>
      <c r="AD49" s="6">
        <v>4.0</v>
      </c>
      <c r="AE49" s="6">
        <v>4.0</v>
      </c>
      <c r="AF49" s="6">
        <v>4.0</v>
      </c>
      <c r="AG49" s="12">
        <v>2.0</v>
      </c>
      <c r="AH49" s="6">
        <v>3.0</v>
      </c>
      <c r="AI49" s="6">
        <v>3.0</v>
      </c>
      <c r="AJ49" s="12">
        <v>2.0</v>
      </c>
      <c r="AK49" s="12">
        <v>2.0</v>
      </c>
      <c r="AL49" s="6">
        <v>4.0</v>
      </c>
      <c r="AM49" s="12">
        <v>2.0</v>
      </c>
      <c r="AN49" s="6">
        <v>4.0</v>
      </c>
      <c r="AO49" s="6">
        <v>3.0</v>
      </c>
      <c r="AP49" s="6">
        <v>5.0</v>
      </c>
      <c r="AQ49" s="12">
        <v>5.0</v>
      </c>
      <c r="AR49" s="6">
        <v>4.0</v>
      </c>
      <c r="AS49" s="12">
        <v>4.0</v>
      </c>
      <c r="AT49" s="6">
        <v>2.0</v>
      </c>
      <c r="AV49" s="6">
        <f t="shared" si="1"/>
        <v>0.8832478983</v>
      </c>
      <c r="AX49" s="6">
        <f t="shared" si="2"/>
        <v>24</v>
      </c>
      <c r="AY49" s="6"/>
      <c r="BA49" s="6">
        <f t="shared" si="3"/>
        <v>32</v>
      </c>
      <c r="BB49" s="6"/>
      <c r="BD49" s="6">
        <f t="shared" si="4"/>
        <v>31</v>
      </c>
      <c r="BE49" s="6"/>
      <c r="BG49" s="6">
        <f t="shared" si="5"/>
        <v>24</v>
      </c>
      <c r="BH49" s="6"/>
      <c r="BJ49" s="6">
        <f t="shared" si="6"/>
        <v>35</v>
      </c>
      <c r="BK49" s="6"/>
      <c r="CK49" s="5" t="s">
        <v>11</v>
      </c>
      <c r="CM49" s="6">
        <f t="shared" si="7"/>
        <v>1</v>
      </c>
      <c r="CN49" s="6"/>
      <c r="CO49" s="6">
        <f t="shared" si="8"/>
        <v>0</v>
      </c>
      <c r="CP49" s="6"/>
      <c r="CQ49" s="6">
        <f t="shared" si="9"/>
        <v>3</v>
      </c>
      <c r="CR49" s="6"/>
      <c r="CS49" s="4">
        <f t="shared" si="10"/>
        <v>0</v>
      </c>
      <c r="CT49" s="6"/>
      <c r="CU49" s="6">
        <f t="shared" si="11"/>
        <v>3</v>
      </c>
      <c r="CV49" s="6"/>
      <c r="CW49" s="6">
        <f t="shared" si="12"/>
        <v>0</v>
      </c>
      <c r="CX49" s="6"/>
      <c r="CY49" s="4">
        <f t="shared" si="13"/>
        <v>0</v>
      </c>
      <c r="CZ49" s="6"/>
      <c r="DA49" s="6">
        <f t="shared" si="14"/>
        <v>0</v>
      </c>
      <c r="DB49" s="6"/>
      <c r="DC49" s="6">
        <f t="shared" si="15"/>
        <v>1</v>
      </c>
      <c r="DD49" s="6"/>
      <c r="DE49" s="6">
        <f t="shared" si="16"/>
        <v>2</v>
      </c>
      <c r="DF49" s="6"/>
      <c r="DG49" s="6">
        <f t="shared" si="17"/>
        <v>1</v>
      </c>
      <c r="DH49" s="6"/>
      <c r="DI49" s="6">
        <f t="shared" si="18"/>
        <v>1</v>
      </c>
      <c r="DJ49" s="6"/>
      <c r="DL49" s="4" t="s">
        <v>84</v>
      </c>
      <c r="DP49" s="5"/>
    </row>
    <row r="50">
      <c r="B50" s="5" t="s">
        <v>12</v>
      </c>
      <c r="C50" s="6">
        <v>5.0</v>
      </c>
      <c r="D50" s="12">
        <v>5.0</v>
      </c>
      <c r="E50" s="6">
        <v>3.0</v>
      </c>
      <c r="F50" s="6">
        <v>2.0</v>
      </c>
      <c r="G50" s="6">
        <v>4.0</v>
      </c>
      <c r="H50" s="12">
        <v>2.0</v>
      </c>
      <c r="I50" s="6">
        <v>5.0</v>
      </c>
      <c r="J50" s="12">
        <v>4.0</v>
      </c>
      <c r="K50" s="12">
        <v>2.0</v>
      </c>
      <c r="L50" s="6">
        <v>4.0</v>
      </c>
      <c r="M50" s="6">
        <v>4.0</v>
      </c>
      <c r="N50" s="12">
        <v>5.0</v>
      </c>
      <c r="O50" s="6">
        <v>5.0</v>
      </c>
      <c r="P50" s="6">
        <v>1.0</v>
      </c>
      <c r="Q50" s="6">
        <v>5.0</v>
      </c>
      <c r="R50" s="6">
        <v>4.0</v>
      </c>
      <c r="S50" s="6">
        <v>5.0</v>
      </c>
      <c r="T50" s="12">
        <v>3.0</v>
      </c>
      <c r="U50" s="6">
        <v>4.0</v>
      </c>
      <c r="V50" s="6">
        <v>4.0</v>
      </c>
      <c r="W50" s="12">
        <v>4.0</v>
      </c>
      <c r="X50" s="6">
        <v>5.0</v>
      </c>
      <c r="Y50" s="12">
        <v>3.0</v>
      </c>
      <c r="Z50" s="12">
        <v>2.0</v>
      </c>
      <c r="AA50" s="6">
        <v>4.0</v>
      </c>
      <c r="AB50" s="6">
        <v>4.0</v>
      </c>
      <c r="AC50" s="12">
        <v>5.0</v>
      </c>
      <c r="AD50" s="6">
        <v>3.0</v>
      </c>
      <c r="AE50" s="6">
        <v>2.0</v>
      </c>
      <c r="AF50" s="6">
        <v>5.0</v>
      </c>
      <c r="AG50" s="12">
        <v>5.0</v>
      </c>
      <c r="AH50" s="6">
        <v>5.0</v>
      </c>
      <c r="AI50" s="6">
        <v>4.0</v>
      </c>
      <c r="AJ50" s="12">
        <v>2.0</v>
      </c>
      <c r="AK50" s="12">
        <v>5.0</v>
      </c>
      <c r="AL50" s="6">
        <v>5.0</v>
      </c>
      <c r="AM50" s="12">
        <v>5.0</v>
      </c>
      <c r="AN50" s="6">
        <v>3.0</v>
      </c>
      <c r="AO50" s="6">
        <v>1.0</v>
      </c>
      <c r="AP50" s="6">
        <v>5.0</v>
      </c>
      <c r="AQ50" s="12">
        <v>5.0</v>
      </c>
      <c r="AR50" s="6">
        <v>5.0</v>
      </c>
      <c r="AS50" s="12">
        <v>3.0</v>
      </c>
      <c r="AT50" s="6">
        <v>5.0</v>
      </c>
      <c r="AV50" s="6">
        <f t="shared" si="1"/>
        <v>1.242950524</v>
      </c>
      <c r="AX50" s="6">
        <f t="shared" si="2"/>
        <v>33</v>
      </c>
      <c r="AY50" s="6"/>
      <c r="BA50" s="6">
        <f t="shared" si="3"/>
        <v>45</v>
      </c>
      <c r="BB50" s="6"/>
      <c r="BD50" s="6">
        <f t="shared" si="4"/>
        <v>31</v>
      </c>
      <c r="BE50" s="6"/>
      <c r="BG50" s="6">
        <f t="shared" si="5"/>
        <v>16</v>
      </c>
      <c r="BH50" s="6"/>
      <c r="BJ50" s="6">
        <f t="shared" si="6"/>
        <v>46</v>
      </c>
      <c r="BK50" s="6"/>
      <c r="CK50" s="5" t="s">
        <v>12</v>
      </c>
      <c r="CM50" s="6">
        <f t="shared" si="7"/>
        <v>2</v>
      </c>
      <c r="CN50" s="6"/>
      <c r="CO50" s="6">
        <f t="shared" si="8"/>
        <v>2</v>
      </c>
      <c r="CP50" s="6"/>
      <c r="CQ50" s="4">
        <f t="shared" si="9"/>
        <v>2</v>
      </c>
      <c r="CR50" s="6"/>
      <c r="CS50" s="13">
        <f t="shared" si="10"/>
        <v>4</v>
      </c>
      <c r="CT50" s="6"/>
      <c r="CU50" s="6">
        <f t="shared" si="11"/>
        <v>3</v>
      </c>
      <c r="CV50" s="6"/>
      <c r="CW50" s="6">
        <f t="shared" si="12"/>
        <v>0</v>
      </c>
      <c r="CX50" s="6"/>
      <c r="CY50" s="13">
        <f t="shared" si="13"/>
        <v>5</v>
      </c>
      <c r="CZ50" s="6"/>
      <c r="DA50" s="6">
        <f t="shared" si="14"/>
        <v>1</v>
      </c>
      <c r="DB50" s="6"/>
      <c r="DC50" s="4">
        <f t="shared" si="15"/>
        <v>1</v>
      </c>
      <c r="DD50" s="6"/>
      <c r="DE50" s="4">
        <f t="shared" si="16"/>
        <v>4</v>
      </c>
      <c r="DF50" s="6"/>
      <c r="DG50" s="6">
        <f t="shared" si="17"/>
        <v>2</v>
      </c>
      <c r="DH50" s="6"/>
      <c r="DI50" s="4">
        <f t="shared" si="18"/>
        <v>0</v>
      </c>
      <c r="DJ50" s="6"/>
      <c r="DL50" s="4" t="s">
        <v>85</v>
      </c>
      <c r="DP50" s="5"/>
    </row>
    <row r="51">
      <c r="B51" s="5" t="s">
        <v>13</v>
      </c>
      <c r="C51" s="6">
        <v>5.0</v>
      </c>
      <c r="D51" s="12">
        <v>3.0</v>
      </c>
      <c r="E51" s="6">
        <v>2.0</v>
      </c>
      <c r="F51" s="6">
        <v>1.0</v>
      </c>
      <c r="G51" s="6">
        <v>4.0</v>
      </c>
      <c r="H51" s="12">
        <v>5.0</v>
      </c>
      <c r="I51" s="6">
        <v>5.0</v>
      </c>
      <c r="J51" s="12">
        <v>1.0</v>
      </c>
      <c r="K51" s="12">
        <v>4.0</v>
      </c>
      <c r="L51" s="6">
        <v>5.0</v>
      </c>
      <c r="M51" s="6">
        <v>4.0</v>
      </c>
      <c r="N51" s="12">
        <v>5.0</v>
      </c>
      <c r="O51" s="6">
        <v>4.0</v>
      </c>
      <c r="P51" s="6">
        <v>3.0</v>
      </c>
      <c r="Q51" s="6">
        <v>3.0</v>
      </c>
      <c r="R51" s="6">
        <v>5.0</v>
      </c>
      <c r="S51" s="6">
        <v>5.0</v>
      </c>
      <c r="T51" s="12">
        <v>1.0</v>
      </c>
      <c r="U51" s="6">
        <v>5.0</v>
      </c>
      <c r="V51" s="6">
        <v>5.0</v>
      </c>
      <c r="W51" s="12">
        <v>5.0</v>
      </c>
      <c r="X51" s="6">
        <v>5.0</v>
      </c>
      <c r="Y51" s="12">
        <v>4.0</v>
      </c>
      <c r="Z51" s="12">
        <v>4.0</v>
      </c>
      <c r="AA51" s="6">
        <v>4.0</v>
      </c>
      <c r="AB51" s="6">
        <v>5.0</v>
      </c>
      <c r="AC51" s="12">
        <v>5.0</v>
      </c>
      <c r="AD51" s="6">
        <v>3.0</v>
      </c>
      <c r="AE51" s="6">
        <v>3.0</v>
      </c>
      <c r="AF51" s="6">
        <v>2.0</v>
      </c>
      <c r="AG51" s="12">
        <v>5.0</v>
      </c>
      <c r="AH51" s="6">
        <v>5.0</v>
      </c>
      <c r="AI51" s="6">
        <v>3.0</v>
      </c>
      <c r="AJ51" s="12">
        <v>4.0</v>
      </c>
      <c r="AK51" s="12">
        <v>5.0</v>
      </c>
      <c r="AL51" s="6">
        <v>5.0</v>
      </c>
      <c r="AM51" s="12">
        <v>4.0</v>
      </c>
      <c r="AN51" s="6">
        <v>3.0</v>
      </c>
      <c r="AO51" s="6">
        <v>4.0</v>
      </c>
      <c r="AP51" s="6">
        <v>4.0</v>
      </c>
      <c r="AQ51" s="12">
        <v>3.0</v>
      </c>
      <c r="AR51" s="6">
        <v>5.0</v>
      </c>
      <c r="AS51" s="12">
        <v>1.0</v>
      </c>
      <c r="AT51" s="6">
        <v>3.0</v>
      </c>
      <c r="AV51" s="6">
        <f t="shared" si="1"/>
        <v>1.27485853</v>
      </c>
      <c r="AX51" s="6">
        <f t="shared" si="2"/>
        <v>39</v>
      </c>
      <c r="AY51" s="6" t="s">
        <v>86</v>
      </c>
      <c r="BA51" s="6">
        <f t="shared" si="3"/>
        <v>42</v>
      </c>
      <c r="BB51" s="6">
        <v>90.0</v>
      </c>
      <c r="BD51" s="6">
        <f t="shared" si="4"/>
        <v>22</v>
      </c>
      <c r="BE51" s="6">
        <v>7.0</v>
      </c>
      <c r="BG51" s="6">
        <f t="shared" si="5"/>
        <v>28</v>
      </c>
      <c r="BH51" s="6">
        <v>70.0</v>
      </c>
      <c r="BJ51" s="6">
        <f t="shared" si="6"/>
        <v>38</v>
      </c>
      <c r="BK51" s="6">
        <v>55.0</v>
      </c>
      <c r="CK51" s="5" t="s">
        <v>13</v>
      </c>
      <c r="CM51" s="6">
        <f t="shared" si="7"/>
        <v>0</v>
      </c>
      <c r="CN51" s="6"/>
      <c r="CO51" s="6">
        <f t="shared" si="8"/>
        <v>2</v>
      </c>
      <c r="CP51" s="6"/>
      <c r="CQ51" s="13">
        <f t="shared" si="9"/>
        <v>5</v>
      </c>
      <c r="CR51" s="6"/>
      <c r="CS51" s="6">
        <f t="shared" si="10"/>
        <v>1</v>
      </c>
      <c r="CT51" s="6"/>
      <c r="CU51" s="6">
        <f t="shared" si="11"/>
        <v>3</v>
      </c>
      <c r="CV51" s="6"/>
      <c r="CW51" s="6">
        <f t="shared" si="12"/>
        <v>2</v>
      </c>
      <c r="CX51" s="6"/>
      <c r="CY51" s="6">
        <f t="shared" si="13"/>
        <v>0</v>
      </c>
      <c r="CZ51" s="6"/>
      <c r="DA51" s="6">
        <f t="shared" si="14"/>
        <v>0</v>
      </c>
      <c r="DB51" s="6"/>
      <c r="DC51" s="13">
        <f t="shared" si="15"/>
        <v>6</v>
      </c>
      <c r="DD51" s="6"/>
      <c r="DE51" s="13">
        <f t="shared" si="16"/>
        <v>6</v>
      </c>
      <c r="DF51" s="6"/>
      <c r="DG51" s="6">
        <f t="shared" si="17"/>
        <v>4</v>
      </c>
      <c r="DH51" s="6"/>
      <c r="DI51" s="13">
        <f t="shared" si="18"/>
        <v>4</v>
      </c>
      <c r="DJ51" s="6"/>
      <c r="DL51" s="4" t="s">
        <v>87</v>
      </c>
      <c r="DP51" s="5"/>
    </row>
    <row r="52">
      <c r="B52" s="5" t="s">
        <v>14</v>
      </c>
      <c r="C52" s="6">
        <v>4.0</v>
      </c>
      <c r="D52" s="12">
        <v>2.0</v>
      </c>
      <c r="E52" s="6">
        <v>5.0</v>
      </c>
      <c r="F52" s="6">
        <v>1.0</v>
      </c>
      <c r="G52" s="6">
        <v>4.0</v>
      </c>
      <c r="H52" s="12">
        <v>4.0</v>
      </c>
      <c r="I52" s="6">
        <v>4.0</v>
      </c>
      <c r="J52" s="12">
        <v>2.0</v>
      </c>
      <c r="K52" s="12">
        <v>4.0</v>
      </c>
      <c r="L52" s="6">
        <v>5.0</v>
      </c>
      <c r="M52" s="6">
        <v>4.0</v>
      </c>
      <c r="N52" s="12">
        <v>5.0</v>
      </c>
      <c r="O52" s="6">
        <v>4.0</v>
      </c>
      <c r="P52" s="6">
        <v>2.0</v>
      </c>
      <c r="Q52" s="6">
        <v>4.0</v>
      </c>
      <c r="R52" s="6">
        <v>4.0</v>
      </c>
      <c r="S52" s="6">
        <v>4.0</v>
      </c>
      <c r="T52" s="12">
        <v>2.0</v>
      </c>
      <c r="U52" s="6">
        <v>2.0</v>
      </c>
      <c r="V52" s="6">
        <v>4.0</v>
      </c>
      <c r="W52" s="12">
        <v>4.0</v>
      </c>
      <c r="X52" s="6">
        <v>5.0</v>
      </c>
      <c r="Y52" s="12">
        <v>2.0</v>
      </c>
      <c r="Z52" s="12">
        <v>4.0</v>
      </c>
      <c r="AA52" s="6">
        <v>4.0</v>
      </c>
      <c r="AB52" s="6">
        <v>4.0</v>
      </c>
      <c r="AC52" s="12">
        <v>4.0</v>
      </c>
      <c r="AD52" s="6">
        <v>4.0</v>
      </c>
      <c r="AE52" s="6">
        <v>4.0</v>
      </c>
      <c r="AF52" s="6">
        <v>3.0</v>
      </c>
      <c r="AG52" s="12">
        <v>4.0</v>
      </c>
      <c r="AH52" s="6">
        <v>4.0</v>
      </c>
      <c r="AI52" s="6">
        <v>4.0</v>
      </c>
      <c r="AJ52" s="12">
        <v>2.0</v>
      </c>
      <c r="AK52" s="12">
        <v>5.0</v>
      </c>
      <c r="AL52" s="6">
        <v>4.0</v>
      </c>
      <c r="AM52" s="12">
        <v>4.0</v>
      </c>
      <c r="AN52" s="6">
        <v>4.0</v>
      </c>
      <c r="AO52" s="6">
        <v>1.0</v>
      </c>
      <c r="AP52" s="6">
        <v>4.0</v>
      </c>
      <c r="AQ52" s="12">
        <v>4.0</v>
      </c>
      <c r="AR52" s="6">
        <v>4.0</v>
      </c>
      <c r="AS52" s="12">
        <v>2.0</v>
      </c>
      <c r="AT52" s="6">
        <v>4.0</v>
      </c>
      <c r="AV52" s="6">
        <f t="shared" si="1"/>
        <v>1.063521614</v>
      </c>
      <c r="AX52" s="6">
        <f t="shared" si="2"/>
        <v>32</v>
      </c>
      <c r="AY52" s="6">
        <v>80.0</v>
      </c>
      <c r="BA52" s="6">
        <f t="shared" si="3"/>
        <v>36</v>
      </c>
      <c r="BB52" s="6">
        <v>60.0</v>
      </c>
      <c r="BD52" s="6">
        <f t="shared" si="4"/>
        <v>29</v>
      </c>
      <c r="BE52" s="6">
        <v>30.0</v>
      </c>
      <c r="BG52" s="6">
        <f t="shared" si="5"/>
        <v>20</v>
      </c>
      <c r="BH52" s="6">
        <v>45.0</v>
      </c>
      <c r="BJ52" s="6">
        <f t="shared" si="6"/>
        <v>41</v>
      </c>
      <c r="BK52" s="6">
        <v>70.0</v>
      </c>
      <c r="CK52" s="5" t="s">
        <v>14</v>
      </c>
      <c r="CM52" s="6">
        <f t="shared" si="7"/>
        <v>0</v>
      </c>
      <c r="CN52" s="6"/>
      <c r="CO52" s="6">
        <f t="shared" si="8"/>
        <v>1</v>
      </c>
      <c r="CP52" s="6"/>
      <c r="CQ52" s="6">
        <f t="shared" si="9"/>
        <v>0</v>
      </c>
      <c r="CR52" s="6"/>
      <c r="CS52" s="6">
        <f t="shared" si="10"/>
        <v>1</v>
      </c>
      <c r="CT52" s="6"/>
      <c r="CU52" s="6">
        <f t="shared" si="11"/>
        <v>0</v>
      </c>
      <c r="CV52" s="6"/>
      <c r="CW52" s="6">
        <f t="shared" si="12"/>
        <v>2</v>
      </c>
      <c r="CX52" s="6"/>
      <c r="CY52" s="6">
        <f t="shared" si="13"/>
        <v>2</v>
      </c>
      <c r="CZ52" s="6"/>
      <c r="DA52" s="6">
        <f t="shared" si="14"/>
        <v>0</v>
      </c>
      <c r="DB52" s="6"/>
      <c r="DC52" s="6">
        <f t="shared" si="15"/>
        <v>4</v>
      </c>
      <c r="DD52" s="6"/>
      <c r="DE52" s="6">
        <f t="shared" si="16"/>
        <v>4</v>
      </c>
      <c r="DF52" s="6"/>
      <c r="DG52" s="6">
        <f t="shared" si="17"/>
        <v>2</v>
      </c>
      <c r="DH52" s="6"/>
      <c r="DI52" s="6">
        <f t="shared" si="18"/>
        <v>3</v>
      </c>
      <c r="DJ52" s="6"/>
      <c r="DL52" s="4" t="s">
        <v>88</v>
      </c>
      <c r="DP52" s="11" t="s">
        <v>14</v>
      </c>
    </row>
    <row r="53">
      <c r="B53" s="5" t="s">
        <v>15</v>
      </c>
      <c r="C53" s="6">
        <v>5.0</v>
      </c>
      <c r="D53" s="12">
        <v>3.0</v>
      </c>
      <c r="E53" s="6">
        <v>5.0</v>
      </c>
      <c r="F53" s="6">
        <v>3.0</v>
      </c>
      <c r="G53" s="6">
        <v>3.0</v>
      </c>
      <c r="H53" s="12">
        <v>3.0</v>
      </c>
      <c r="I53" s="6">
        <v>5.0</v>
      </c>
      <c r="J53" s="12">
        <v>3.0</v>
      </c>
      <c r="K53" s="12">
        <v>3.0</v>
      </c>
      <c r="L53" s="6">
        <v>3.0</v>
      </c>
      <c r="M53" s="6">
        <v>3.0</v>
      </c>
      <c r="N53" s="12">
        <v>5.0</v>
      </c>
      <c r="O53" s="6">
        <v>5.0</v>
      </c>
      <c r="P53" s="6">
        <v>5.0</v>
      </c>
      <c r="Q53" s="6">
        <v>3.0</v>
      </c>
      <c r="R53" s="6">
        <v>3.0</v>
      </c>
      <c r="S53" s="6">
        <v>3.0</v>
      </c>
      <c r="T53" s="12">
        <v>3.0</v>
      </c>
      <c r="U53" s="6">
        <v>5.0</v>
      </c>
      <c r="V53" s="6">
        <v>3.0</v>
      </c>
      <c r="W53" s="12">
        <v>5.0</v>
      </c>
      <c r="X53" s="6">
        <v>5.0</v>
      </c>
      <c r="Y53" s="12">
        <v>5.0</v>
      </c>
      <c r="Z53" s="12">
        <v>3.0</v>
      </c>
      <c r="AA53" s="6">
        <v>3.0</v>
      </c>
      <c r="AB53" s="6">
        <v>3.0</v>
      </c>
      <c r="AC53" s="12">
        <v>3.0</v>
      </c>
      <c r="AD53" s="6">
        <v>3.0</v>
      </c>
      <c r="AE53" s="6">
        <v>3.0</v>
      </c>
      <c r="AF53" s="6">
        <v>5.0</v>
      </c>
      <c r="AG53" s="12">
        <v>3.0</v>
      </c>
      <c r="AH53" s="6">
        <v>3.0</v>
      </c>
      <c r="AI53" s="6">
        <v>3.0</v>
      </c>
      <c r="AJ53" s="12">
        <v>3.0</v>
      </c>
      <c r="AK53" s="12">
        <v>3.0</v>
      </c>
      <c r="AL53" s="6">
        <v>3.0</v>
      </c>
      <c r="AM53" s="12">
        <v>1.0</v>
      </c>
      <c r="AN53" s="6">
        <v>5.0</v>
      </c>
      <c r="AO53" s="6">
        <v>3.0</v>
      </c>
      <c r="AP53" s="6">
        <v>5.0</v>
      </c>
      <c r="AQ53" s="12">
        <v>5.0</v>
      </c>
      <c r="AR53" s="6">
        <v>3.0</v>
      </c>
      <c r="AS53" s="12">
        <v>1.0</v>
      </c>
      <c r="AT53" s="6">
        <v>5.0</v>
      </c>
      <c r="AV53" s="6">
        <f t="shared" si="1"/>
        <v>1.106391197</v>
      </c>
      <c r="AX53" s="6">
        <f t="shared" si="2"/>
        <v>28</v>
      </c>
      <c r="AY53" s="6"/>
      <c r="BA53" s="6">
        <f t="shared" si="3"/>
        <v>31</v>
      </c>
      <c r="BB53" s="6"/>
      <c r="BD53" s="6">
        <f t="shared" si="4"/>
        <v>33</v>
      </c>
      <c r="BE53" s="6"/>
      <c r="BG53" s="6">
        <f t="shared" si="5"/>
        <v>28</v>
      </c>
      <c r="BH53" s="6"/>
      <c r="BJ53" s="6">
        <f t="shared" si="6"/>
        <v>38</v>
      </c>
      <c r="BK53" s="6"/>
      <c r="CK53" s="5" t="s">
        <v>15</v>
      </c>
      <c r="CM53" s="6">
        <f t="shared" si="7"/>
        <v>0</v>
      </c>
      <c r="CN53" s="6"/>
      <c r="CO53" s="6">
        <f t="shared" si="8"/>
        <v>0</v>
      </c>
      <c r="CP53" s="6"/>
      <c r="CQ53" s="13">
        <f t="shared" si="9"/>
        <v>5</v>
      </c>
      <c r="CR53" s="6"/>
      <c r="CS53" s="6">
        <f t="shared" si="10"/>
        <v>2</v>
      </c>
      <c r="CT53" s="6"/>
      <c r="CU53" s="6">
        <f t="shared" si="11"/>
        <v>2</v>
      </c>
      <c r="CV53" s="6"/>
      <c r="CW53" s="6">
        <f t="shared" si="12"/>
        <v>2</v>
      </c>
      <c r="CX53" s="6"/>
      <c r="CY53" s="6">
        <f t="shared" si="13"/>
        <v>3</v>
      </c>
      <c r="CZ53" s="6"/>
      <c r="DA53" s="6">
        <f t="shared" si="14"/>
        <v>0</v>
      </c>
      <c r="DB53" s="6"/>
      <c r="DC53" s="6">
        <f t="shared" si="15"/>
        <v>1</v>
      </c>
      <c r="DD53" s="6"/>
      <c r="DE53" s="6">
        <f t="shared" si="16"/>
        <v>2</v>
      </c>
      <c r="DF53" s="6"/>
      <c r="DG53" s="6">
        <f t="shared" si="17"/>
        <v>0</v>
      </c>
      <c r="DH53" s="6"/>
      <c r="DI53" s="6">
        <f t="shared" si="18"/>
        <v>0</v>
      </c>
      <c r="DJ53" s="6"/>
      <c r="DL53" s="4" t="s">
        <v>89</v>
      </c>
      <c r="DP53" s="11" t="s">
        <v>15</v>
      </c>
    </row>
    <row r="54">
      <c r="B54" s="8" t="s">
        <v>16</v>
      </c>
      <c r="C54" s="6">
        <v>4.0</v>
      </c>
      <c r="D54" s="12">
        <v>3.0</v>
      </c>
      <c r="E54" s="6">
        <v>4.0</v>
      </c>
      <c r="F54" s="6">
        <v>1.0</v>
      </c>
      <c r="G54" s="6">
        <v>4.0</v>
      </c>
      <c r="H54" s="12">
        <v>4.0</v>
      </c>
      <c r="I54" s="6">
        <v>4.0</v>
      </c>
      <c r="J54" s="12">
        <v>1.0</v>
      </c>
      <c r="K54" s="12">
        <v>1.0</v>
      </c>
      <c r="L54" s="6">
        <v>5.0</v>
      </c>
      <c r="M54" s="6">
        <v>3.0</v>
      </c>
      <c r="N54" s="12">
        <v>5.0</v>
      </c>
      <c r="O54" s="6">
        <v>4.0</v>
      </c>
      <c r="P54" s="6">
        <v>1.0</v>
      </c>
      <c r="Q54" s="6">
        <v>4.0</v>
      </c>
      <c r="R54" s="6">
        <v>4.0</v>
      </c>
      <c r="S54" s="6">
        <v>4.0</v>
      </c>
      <c r="T54" s="12">
        <v>1.0</v>
      </c>
      <c r="U54" s="6">
        <v>2.0</v>
      </c>
      <c r="V54" s="6">
        <v>5.0</v>
      </c>
      <c r="W54" s="12">
        <v>5.0</v>
      </c>
      <c r="X54" s="6">
        <v>4.0</v>
      </c>
      <c r="Y54" s="12">
        <v>1.0</v>
      </c>
      <c r="Z54" s="12">
        <v>1.0</v>
      </c>
      <c r="AA54" s="6">
        <v>4.0</v>
      </c>
      <c r="AB54" s="6">
        <v>5.0</v>
      </c>
      <c r="AC54" s="12">
        <v>4.0</v>
      </c>
      <c r="AD54" s="6">
        <v>2.0</v>
      </c>
      <c r="AE54" s="6">
        <v>2.0</v>
      </c>
      <c r="AF54" s="6">
        <v>4.0</v>
      </c>
      <c r="AG54" s="12">
        <v>4.0</v>
      </c>
      <c r="AH54" s="6">
        <v>4.0</v>
      </c>
      <c r="AI54" s="6">
        <v>4.0</v>
      </c>
      <c r="AJ54" s="12">
        <v>1.0</v>
      </c>
      <c r="AK54" s="12">
        <v>3.0</v>
      </c>
      <c r="AL54" s="6">
        <v>4.0</v>
      </c>
      <c r="AM54" s="12">
        <v>3.0</v>
      </c>
      <c r="AN54" s="6">
        <v>4.0</v>
      </c>
      <c r="AO54" s="6">
        <v>1.0</v>
      </c>
      <c r="AP54" s="6">
        <v>4.0</v>
      </c>
      <c r="AQ54" s="12">
        <v>5.0</v>
      </c>
      <c r="AR54" s="6">
        <v>4.0</v>
      </c>
      <c r="AS54" s="12">
        <v>2.0</v>
      </c>
      <c r="AT54" s="6">
        <v>4.0</v>
      </c>
      <c r="AV54" s="6">
        <f t="shared" si="1"/>
        <v>1.383036767</v>
      </c>
      <c r="AX54" s="6">
        <f t="shared" si="2"/>
        <v>33</v>
      </c>
      <c r="AY54" s="6"/>
      <c r="BA54" s="6">
        <f t="shared" si="3"/>
        <v>35</v>
      </c>
      <c r="BB54" s="6"/>
      <c r="BD54" s="6">
        <f t="shared" si="4"/>
        <v>23</v>
      </c>
      <c r="BE54" s="6"/>
      <c r="BG54" s="6">
        <f t="shared" si="5"/>
        <v>10</v>
      </c>
      <c r="BH54" s="6"/>
      <c r="BJ54" s="6">
        <f t="shared" si="6"/>
        <v>42</v>
      </c>
      <c r="BK54" s="6"/>
      <c r="CK54" s="5" t="s">
        <v>16</v>
      </c>
      <c r="CM54" s="6">
        <f t="shared" si="7"/>
        <v>0</v>
      </c>
      <c r="CN54" s="6"/>
      <c r="CO54" s="6">
        <f t="shared" si="8"/>
        <v>0</v>
      </c>
      <c r="CP54" s="6"/>
      <c r="CQ54" s="4">
        <f t="shared" si="9"/>
        <v>1</v>
      </c>
      <c r="CR54" s="6"/>
      <c r="CS54" s="6">
        <f t="shared" si="10"/>
        <v>2</v>
      </c>
      <c r="CT54" s="6"/>
      <c r="CU54" s="6">
        <f t="shared" si="11"/>
        <v>1</v>
      </c>
      <c r="CV54" s="6"/>
      <c r="CW54" s="6">
        <f t="shared" si="12"/>
        <v>0</v>
      </c>
      <c r="CX54" s="6"/>
      <c r="CY54" s="6">
        <f t="shared" si="13"/>
        <v>2</v>
      </c>
      <c r="CZ54" s="6"/>
      <c r="DA54" s="6">
        <f t="shared" si="14"/>
        <v>0</v>
      </c>
      <c r="DB54" s="6"/>
      <c r="DC54" s="6">
        <f t="shared" si="15"/>
        <v>2</v>
      </c>
      <c r="DD54" s="6"/>
      <c r="DE54" s="6">
        <f t="shared" si="16"/>
        <v>4</v>
      </c>
      <c r="DF54" s="6"/>
      <c r="DG54" s="6">
        <f t="shared" si="17"/>
        <v>2</v>
      </c>
      <c r="DH54" s="6"/>
      <c r="DI54" s="6">
        <f t="shared" si="18"/>
        <v>2</v>
      </c>
      <c r="DJ54" s="6"/>
      <c r="DL54" s="4" t="s">
        <v>90</v>
      </c>
      <c r="DP54" s="8"/>
    </row>
    <row r="55">
      <c r="B55" s="8" t="s">
        <v>17</v>
      </c>
      <c r="C55" s="6">
        <v>2.0</v>
      </c>
      <c r="D55" s="12">
        <v>5.0</v>
      </c>
      <c r="E55" s="6">
        <v>5.0</v>
      </c>
      <c r="F55" s="6">
        <v>2.0</v>
      </c>
      <c r="G55" s="6">
        <v>4.0</v>
      </c>
      <c r="H55" s="12">
        <v>4.0</v>
      </c>
      <c r="I55" s="6">
        <v>4.0</v>
      </c>
      <c r="J55" s="12">
        <v>3.0</v>
      </c>
      <c r="K55" s="12">
        <v>1.0</v>
      </c>
      <c r="L55" s="6">
        <v>5.0</v>
      </c>
      <c r="M55" s="6">
        <v>3.0</v>
      </c>
      <c r="N55" s="12">
        <v>5.0</v>
      </c>
      <c r="O55" s="6">
        <v>5.0</v>
      </c>
      <c r="P55" s="6">
        <v>1.0</v>
      </c>
      <c r="Q55" s="6">
        <v>4.0</v>
      </c>
      <c r="R55" s="6">
        <v>3.0</v>
      </c>
      <c r="S55" s="6">
        <v>5.0</v>
      </c>
      <c r="T55" s="12">
        <v>4.0</v>
      </c>
      <c r="U55" s="6">
        <v>4.0</v>
      </c>
      <c r="V55" s="6">
        <v>4.0</v>
      </c>
      <c r="W55" s="12">
        <v>1.0</v>
      </c>
      <c r="X55" s="6">
        <v>5.0</v>
      </c>
      <c r="Y55" s="12">
        <v>3.0</v>
      </c>
      <c r="Z55" s="12">
        <v>1.0</v>
      </c>
      <c r="AA55" s="6">
        <v>5.0</v>
      </c>
      <c r="AB55" s="6">
        <v>4.0</v>
      </c>
      <c r="AC55" s="12">
        <v>4.0</v>
      </c>
      <c r="AD55" s="6">
        <v>4.0</v>
      </c>
      <c r="AE55" s="6">
        <v>2.0</v>
      </c>
      <c r="AF55" s="6">
        <v>4.0</v>
      </c>
      <c r="AG55" s="12">
        <v>1.0</v>
      </c>
      <c r="AH55" s="6">
        <v>5.0</v>
      </c>
      <c r="AI55" s="6">
        <v>4.0</v>
      </c>
      <c r="AJ55" s="12">
        <v>2.0</v>
      </c>
      <c r="AK55" s="12">
        <v>4.0</v>
      </c>
      <c r="AL55" s="6">
        <v>3.0</v>
      </c>
      <c r="AM55" s="12">
        <v>5.0</v>
      </c>
      <c r="AN55" s="6">
        <v>4.0</v>
      </c>
      <c r="AO55" s="6">
        <v>1.0</v>
      </c>
      <c r="AP55" s="6">
        <v>5.0</v>
      </c>
      <c r="AQ55" s="12">
        <v>5.0</v>
      </c>
      <c r="AR55" s="6">
        <v>4.0</v>
      </c>
      <c r="AS55" s="12">
        <v>1.0</v>
      </c>
      <c r="AT55" s="6">
        <v>4.0</v>
      </c>
      <c r="AV55" s="6">
        <f t="shared" si="1"/>
        <v>1.405967349</v>
      </c>
      <c r="AX55" s="6">
        <f t="shared" si="2"/>
        <v>21</v>
      </c>
      <c r="AY55" s="6"/>
      <c r="BA55" s="6">
        <f t="shared" si="3"/>
        <v>42</v>
      </c>
      <c r="BB55" s="6"/>
      <c r="BD55" s="6">
        <f t="shared" si="4"/>
        <v>33</v>
      </c>
      <c r="BE55" s="6"/>
      <c r="BG55" s="6">
        <f t="shared" si="5"/>
        <v>14</v>
      </c>
      <c r="BH55" s="6"/>
      <c r="BJ55" s="6">
        <f t="shared" si="6"/>
        <v>44</v>
      </c>
      <c r="BK55" s="6"/>
      <c r="CK55" s="5" t="s">
        <v>17</v>
      </c>
      <c r="CM55" s="6">
        <f t="shared" si="7"/>
        <v>3</v>
      </c>
      <c r="CN55" s="6"/>
      <c r="CO55" s="6">
        <f t="shared" si="8"/>
        <v>2</v>
      </c>
      <c r="CP55" s="6"/>
      <c r="CQ55" s="13">
        <f t="shared" si="9"/>
        <v>4</v>
      </c>
      <c r="CR55" s="6"/>
      <c r="CS55" s="6">
        <f t="shared" si="10"/>
        <v>1</v>
      </c>
      <c r="CT55" s="6"/>
      <c r="CU55" s="6">
        <f t="shared" si="11"/>
        <v>2</v>
      </c>
      <c r="CV55" s="6"/>
      <c r="CW55" s="6">
        <f t="shared" si="12"/>
        <v>1</v>
      </c>
      <c r="CX55" s="6"/>
      <c r="CY55" s="6">
        <f t="shared" si="13"/>
        <v>1</v>
      </c>
      <c r="CZ55" s="6"/>
      <c r="DA55" s="6">
        <f t="shared" si="14"/>
        <v>0</v>
      </c>
      <c r="DB55" s="6"/>
      <c r="DC55" s="6">
        <f t="shared" si="15"/>
        <v>2</v>
      </c>
      <c r="DD55" s="6"/>
      <c r="DE55" s="6">
        <f t="shared" si="16"/>
        <v>0</v>
      </c>
      <c r="DF55" s="6"/>
      <c r="DG55" s="6">
        <f t="shared" si="17"/>
        <v>0</v>
      </c>
      <c r="DH55" s="6"/>
      <c r="DI55" s="6">
        <f t="shared" si="18"/>
        <v>0</v>
      </c>
      <c r="DJ55" s="6"/>
      <c r="DL55" s="4" t="s">
        <v>91</v>
      </c>
      <c r="DP55" s="8"/>
    </row>
    <row r="56">
      <c r="B56" s="8" t="s">
        <v>18</v>
      </c>
      <c r="C56" s="6">
        <v>5.0</v>
      </c>
      <c r="D56" s="12">
        <v>5.0</v>
      </c>
      <c r="E56" s="6">
        <v>5.0</v>
      </c>
      <c r="F56" s="6">
        <v>1.0</v>
      </c>
      <c r="G56" s="6">
        <v>4.0</v>
      </c>
      <c r="H56" s="12">
        <v>3.0</v>
      </c>
      <c r="I56" s="6">
        <v>5.0</v>
      </c>
      <c r="J56" s="12">
        <v>3.0</v>
      </c>
      <c r="K56" s="12">
        <v>3.0</v>
      </c>
      <c r="L56" s="6">
        <v>5.0</v>
      </c>
      <c r="M56" s="6">
        <v>5.0</v>
      </c>
      <c r="N56" s="12">
        <v>4.0</v>
      </c>
      <c r="O56" s="6">
        <v>5.0</v>
      </c>
      <c r="P56" s="6">
        <v>4.0</v>
      </c>
      <c r="Q56" s="6">
        <v>4.0</v>
      </c>
      <c r="R56" s="6">
        <v>4.0</v>
      </c>
      <c r="S56" s="6">
        <v>4.0</v>
      </c>
      <c r="T56" s="12">
        <v>1.0</v>
      </c>
      <c r="U56" s="6">
        <v>5.0</v>
      </c>
      <c r="V56" s="6">
        <v>5.0</v>
      </c>
      <c r="W56" s="12">
        <v>5.0</v>
      </c>
      <c r="X56" s="6">
        <v>5.0</v>
      </c>
      <c r="Y56" s="12">
        <v>5.0</v>
      </c>
      <c r="Z56" s="12">
        <v>2.0</v>
      </c>
      <c r="AA56" s="6">
        <v>4.0</v>
      </c>
      <c r="AB56" s="6">
        <v>3.0</v>
      </c>
      <c r="AC56" s="12">
        <v>5.0</v>
      </c>
      <c r="AD56" s="6">
        <v>5.0</v>
      </c>
      <c r="AE56" s="6">
        <v>2.0</v>
      </c>
      <c r="AF56" s="6">
        <v>3.0</v>
      </c>
      <c r="AG56" s="12">
        <v>2.0</v>
      </c>
      <c r="AH56" s="6">
        <v>4.0</v>
      </c>
      <c r="AI56" s="6">
        <v>4.0</v>
      </c>
      <c r="AJ56" s="12">
        <v>2.0</v>
      </c>
      <c r="AK56" s="12">
        <v>5.0</v>
      </c>
      <c r="AL56" s="6">
        <v>5.0</v>
      </c>
      <c r="AM56" s="12">
        <v>4.0</v>
      </c>
      <c r="AN56" s="6">
        <v>5.0</v>
      </c>
      <c r="AO56" s="6">
        <v>2.0</v>
      </c>
      <c r="AP56" s="6">
        <v>5.0</v>
      </c>
      <c r="AQ56" s="12">
        <v>5.0</v>
      </c>
      <c r="AR56" s="6">
        <v>5.0</v>
      </c>
      <c r="AS56" s="12">
        <v>4.0</v>
      </c>
      <c r="AT56" s="6">
        <v>2.0</v>
      </c>
      <c r="AV56" s="6">
        <f t="shared" si="1"/>
        <v>1.24634773</v>
      </c>
      <c r="AX56" s="6">
        <f t="shared" si="2"/>
        <v>32</v>
      </c>
      <c r="AY56" s="6"/>
      <c r="BA56" s="6">
        <f t="shared" si="3"/>
        <v>41</v>
      </c>
      <c r="BB56" s="6"/>
      <c r="BD56" s="6">
        <f t="shared" si="4"/>
        <v>37</v>
      </c>
      <c r="BE56" s="6"/>
      <c r="BG56" s="6">
        <f t="shared" si="5"/>
        <v>21</v>
      </c>
      <c r="BH56" s="6"/>
      <c r="BJ56" s="6">
        <f t="shared" si="6"/>
        <v>42</v>
      </c>
      <c r="BK56" s="6"/>
      <c r="CK56" s="5" t="s">
        <v>18</v>
      </c>
      <c r="CM56" s="6">
        <f t="shared" si="7"/>
        <v>0</v>
      </c>
      <c r="CN56" s="6"/>
      <c r="CO56" s="6">
        <f t="shared" si="8"/>
        <v>0</v>
      </c>
      <c r="CP56" s="6"/>
      <c r="CQ56" s="4">
        <f t="shared" si="9"/>
        <v>2</v>
      </c>
      <c r="CR56" s="6"/>
      <c r="CS56" s="6">
        <f t="shared" si="10"/>
        <v>0</v>
      </c>
      <c r="CT56" s="6"/>
      <c r="CU56" s="6">
        <f t="shared" si="11"/>
        <v>1</v>
      </c>
      <c r="CV56" s="6"/>
      <c r="CW56" s="6">
        <f t="shared" si="12"/>
        <v>1</v>
      </c>
      <c r="CX56" s="6"/>
      <c r="CY56" s="4">
        <f t="shared" si="13"/>
        <v>0</v>
      </c>
      <c r="CZ56" s="6"/>
      <c r="DA56" s="6">
        <f t="shared" si="14"/>
        <v>0</v>
      </c>
      <c r="DB56" s="6"/>
      <c r="DC56" s="6">
        <f t="shared" si="15"/>
        <v>2</v>
      </c>
      <c r="DD56" s="6"/>
      <c r="DE56" s="6">
        <f t="shared" si="16"/>
        <v>2</v>
      </c>
      <c r="DF56" s="6"/>
      <c r="DG56" s="6">
        <f t="shared" si="17"/>
        <v>0</v>
      </c>
      <c r="DH56" s="6"/>
      <c r="DI56" s="6">
        <f t="shared" si="18"/>
        <v>0</v>
      </c>
      <c r="DJ56" s="6"/>
      <c r="DL56" s="4" t="s">
        <v>92</v>
      </c>
      <c r="DP56" s="8"/>
    </row>
    <row r="57">
      <c r="B57" s="8" t="s">
        <v>19</v>
      </c>
      <c r="C57" s="6">
        <v>3.0</v>
      </c>
      <c r="D57" s="12">
        <v>5.0</v>
      </c>
      <c r="E57" s="6">
        <v>5.0</v>
      </c>
      <c r="F57" s="6">
        <v>2.0</v>
      </c>
      <c r="G57" s="6">
        <v>3.0</v>
      </c>
      <c r="H57" s="12">
        <v>1.0</v>
      </c>
      <c r="I57" s="6">
        <v>5.0</v>
      </c>
      <c r="J57" s="12">
        <v>1.0</v>
      </c>
      <c r="K57" s="12">
        <v>1.0</v>
      </c>
      <c r="L57" s="6">
        <v>5.0</v>
      </c>
      <c r="M57" s="6">
        <v>4.0</v>
      </c>
      <c r="N57" s="12">
        <v>5.0</v>
      </c>
      <c r="O57" s="6">
        <v>5.0</v>
      </c>
      <c r="P57" s="6">
        <v>1.0</v>
      </c>
      <c r="Q57" s="6">
        <v>5.0</v>
      </c>
      <c r="R57" s="6">
        <v>3.0</v>
      </c>
      <c r="S57" s="6">
        <v>5.0</v>
      </c>
      <c r="T57" s="12">
        <v>4.0</v>
      </c>
      <c r="U57" s="6">
        <v>3.0</v>
      </c>
      <c r="V57" s="6">
        <v>4.0</v>
      </c>
      <c r="W57" s="12">
        <v>1.0</v>
      </c>
      <c r="X57" s="6">
        <v>5.0</v>
      </c>
      <c r="Y57" s="12">
        <v>2.0</v>
      </c>
      <c r="Z57" s="12">
        <v>1.0</v>
      </c>
      <c r="AA57" s="6">
        <v>3.0</v>
      </c>
      <c r="AB57" s="6">
        <v>5.0</v>
      </c>
      <c r="AC57" s="12">
        <v>1.0</v>
      </c>
      <c r="AD57" s="6">
        <v>5.0</v>
      </c>
      <c r="AE57" s="6">
        <v>2.0</v>
      </c>
      <c r="AF57" s="6">
        <v>5.0</v>
      </c>
      <c r="AG57" s="12">
        <v>1.0</v>
      </c>
      <c r="AH57" s="6">
        <v>3.0</v>
      </c>
      <c r="AI57" s="6">
        <v>3.0</v>
      </c>
      <c r="AJ57" s="12">
        <v>1.0</v>
      </c>
      <c r="AK57" s="12">
        <v>5.0</v>
      </c>
      <c r="AL57" s="6">
        <v>3.0</v>
      </c>
      <c r="AM57" s="12">
        <v>3.0</v>
      </c>
      <c r="AN57" s="6">
        <v>5.0</v>
      </c>
      <c r="AO57" s="6">
        <v>5.0</v>
      </c>
      <c r="AP57" s="6">
        <v>5.0</v>
      </c>
      <c r="AQ57" s="12">
        <v>5.0</v>
      </c>
      <c r="AR57" s="6">
        <v>5.0</v>
      </c>
      <c r="AS57" s="12">
        <v>1.0</v>
      </c>
      <c r="AT57" s="6">
        <v>3.0</v>
      </c>
      <c r="AV57" s="6">
        <f t="shared" si="1"/>
        <v>1.615202617</v>
      </c>
      <c r="AX57" s="6">
        <f t="shared" si="2"/>
        <v>21</v>
      </c>
      <c r="AY57" s="6"/>
      <c r="BA57" s="6">
        <f t="shared" si="3"/>
        <v>37</v>
      </c>
      <c r="BB57" s="6"/>
      <c r="BD57" s="6">
        <f t="shared" si="4"/>
        <v>31</v>
      </c>
      <c r="BE57" s="6"/>
      <c r="BG57" s="6">
        <f t="shared" si="5"/>
        <v>16</v>
      </c>
      <c r="BH57" s="6"/>
      <c r="BJ57" s="6">
        <f t="shared" si="6"/>
        <v>43</v>
      </c>
      <c r="BK57" s="6"/>
      <c r="CK57" s="5" t="s">
        <v>19</v>
      </c>
      <c r="CM57" s="6">
        <f t="shared" si="7"/>
        <v>3</v>
      </c>
      <c r="CN57" s="6"/>
      <c r="CO57" s="6">
        <f t="shared" si="8"/>
        <v>2</v>
      </c>
      <c r="CP57" s="6"/>
      <c r="CQ57" s="13">
        <f t="shared" si="9"/>
        <v>4</v>
      </c>
      <c r="CR57" s="6"/>
      <c r="CS57" s="6">
        <f t="shared" si="10"/>
        <v>2</v>
      </c>
      <c r="CT57" s="6"/>
      <c r="CU57" s="6">
        <f t="shared" si="11"/>
        <v>1</v>
      </c>
      <c r="CV57" s="6"/>
      <c r="CW57" s="6">
        <f t="shared" si="12"/>
        <v>1</v>
      </c>
      <c r="CX57" s="6"/>
      <c r="CY57" s="13">
        <f t="shared" si="13"/>
        <v>6</v>
      </c>
      <c r="CZ57" s="6"/>
      <c r="DA57" s="6">
        <f t="shared" si="14"/>
        <v>0</v>
      </c>
      <c r="DB57" s="6"/>
      <c r="DC57" s="6">
        <f t="shared" si="15"/>
        <v>1</v>
      </c>
      <c r="DD57" s="6"/>
      <c r="DE57" s="6">
        <f t="shared" si="16"/>
        <v>2</v>
      </c>
      <c r="DF57" s="6"/>
      <c r="DG57" s="6">
        <f t="shared" si="17"/>
        <v>2</v>
      </c>
      <c r="DH57" s="6"/>
      <c r="DI57" s="6">
        <f t="shared" si="18"/>
        <v>3</v>
      </c>
      <c r="DJ57" s="6"/>
      <c r="DL57" s="4" t="s">
        <v>93</v>
      </c>
      <c r="DP57" s="14" t="s">
        <v>19</v>
      </c>
    </row>
    <row r="58">
      <c r="B58" s="8" t="s">
        <v>20</v>
      </c>
      <c r="C58" s="6">
        <v>4.0</v>
      </c>
      <c r="D58" s="12">
        <v>2.0</v>
      </c>
      <c r="E58" s="6">
        <v>5.0</v>
      </c>
      <c r="F58" s="6">
        <v>4.0</v>
      </c>
      <c r="G58" s="6">
        <v>4.0</v>
      </c>
      <c r="H58" s="12">
        <v>4.0</v>
      </c>
      <c r="I58" s="6">
        <v>4.0</v>
      </c>
      <c r="J58" s="12">
        <v>3.0</v>
      </c>
      <c r="K58" s="12">
        <v>3.0</v>
      </c>
      <c r="L58" s="6">
        <v>4.0</v>
      </c>
      <c r="M58" s="6">
        <v>3.0</v>
      </c>
      <c r="N58" s="12">
        <v>4.0</v>
      </c>
      <c r="O58" s="6">
        <v>3.0</v>
      </c>
      <c r="P58" s="6">
        <v>4.0</v>
      </c>
      <c r="Q58" s="6">
        <v>4.0</v>
      </c>
      <c r="R58" s="6">
        <v>3.0</v>
      </c>
      <c r="S58" s="6">
        <v>4.0</v>
      </c>
      <c r="T58" s="12">
        <v>2.0</v>
      </c>
      <c r="U58" s="6">
        <v>2.0</v>
      </c>
      <c r="V58" s="6">
        <v>3.0</v>
      </c>
      <c r="W58" s="12">
        <v>3.0</v>
      </c>
      <c r="X58" s="6">
        <v>4.0</v>
      </c>
      <c r="Y58" s="12">
        <v>3.0</v>
      </c>
      <c r="Z58" s="12">
        <v>3.0</v>
      </c>
      <c r="AA58" s="6">
        <v>4.0</v>
      </c>
      <c r="AB58" s="6">
        <v>2.0</v>
      </c>
      <c r="AC58" s="12">
        <v>3.0</v>
      </c>
      <c r="AD58" s="6">
        <v>4.0</v>
      </c>
      <c r="AE58" s="6">
        <v>3.0</v>
      </c>
      <c r="AF58" s="6">
        <v>4.0</v>
      </c>
      <c r="AG58" s="12">
        <v>3.0</v>
      </c>
      <c r="AH58" s="6">
        <v>2.0</v>
      </c>
      <c r="AI58" s="6">
        <v>3.0</v>
      </c>
      <c r="AJ58" s="12">
        <v>2.0</v>
      </c>
      <c r="AK58" s="12">
        <v>3.0</v>
      </c>
      <c r="AL58" s="6">
        <v>3.0</v>
      </c>
      <c r="AM58" s="12">
        <v>2.0</v>
      </c>
      <c r="AN58" s="6">
        <v>5.0</v>
      </c>
      <c r="AO58" s="6">
        <v>4.0</v>
      </c>
      <c r="AP58" s="6">
        <v>5.0</v>
      </c>
      <c r="AQ58" s="12">
        <v>4.0</v>
      </c>
      <c r="AR58" s="6">
        <v>4.0</v>
      </c>
      <c r="AS58" s="12">
        <v>3.0</v>
      </c>
      <c r="AT58" s="6">
        <v>4.0</v>
      </c>
      <c r="AV58" s="6">
        <f t="shared" si="1"/>
        <v>0.8412589981</v>
      </c>
      <c r="AX58" s="6">
        <f t="shared" si="2"/>
        <v>25</v>
      </c>
      <c r="AY58" s="6"/>
      <c r="BA58" s="6">
        <f t="shared" si="3"/>
        <v>29</v>
      </c>
      <c r="BB58" s="6"/>
      <c r="BD58" s="6">
        <f t="shared" si="4"/>
        <v>31</v>
      </c>
      <c r="BE58" s="6"/>
      <c r="BG58" s="6">
        <f t="shared" si="5"/>
        <v>25</v>
      </c>
      <c r="BH58" s="6"/>
      <c r="BJ58" s="6">
        <f t="shared" si="6"/>
        <v>39</v>
      </c>
      <c r="BK58" s="6"/>
      <c r="CK58" s="8" t="s">
        <v>20</v>
      </c>
      <c r="CM58" s="6">
        <f t="shared" si="7"/>
        <v>2</v>
      </c>
      <c r="CN58" s="6"/>
      <c r="CO58" s="6">
        <f t="shared" si="8"/>
        <v>2</v>
      </c>
      <c r="CP58" s="6"/>
      <c r="CQ58" s="6">
        <f t="shared" si="9"/>
        <v>2</v>
      </c>
      <c r="CR58" s="6"/>
      <c r="CS58" s="6">
        <f t="shared" si="10"/>
        <v>1</v>
      </c>
      <c r="CT58" s="6"/>
      <c r="CU58" s="6">
        <f t="shared" si="11"/>
        <v>3</v>
      </c>
      <c r="CV58" s="6"/>
      <c r="CW58" s="6">
        <f t="shared" si="12"/>
        <v>0</v>
      </c>
      <c r="CX58" s="6"/>
      <c r="CY58" s="6">
        <f t="shared" si="13"/>
        <v>2</v>
      </c>
      <c r="CZ58" s="6"/>
      <c r="DA58" s="6">
        <f t="shared" si="14"/>
        <v>0</v>
      </c>
      <c r="DB58" s="6"/>
      <c r="DC58" s="6">
        <f t="shared" si="15"/>
        <v>3</v>
      </c>
      <c r="DD58" s="6"/>
      <c r="DE58" s="13">
        <f t="shared" si="16"/>
        <v>6</v>
      </c>
      <c r="DF58" s="6"/>
      <c r="DG58" s="6">
        <f t="shared" si="17"/>
        <v>3</v>
      </c>
      <c r="DH58" s="6"/>
      <c r="DI58" s="6">
        <f t="shared" si="18"/>
        <v>4</v>
      </c>
      <c r="DJ58" s="6"/>
      <c r="DL58" s="4" t="s">
        <v>94</v>
      </c>
      <c r="DP58" s="14" t="s">
        <v>20</v>
      </c>
    </row>
    <row r="59">
      <c r="B59" s="8" t="s">
        <v>21</v>
      </c>
      <c r="C59" s="6">
        <v>2.0</v>
      </c>
      <c r="D59" s="12">
        <v>3.0</v>
      </c>
      <c r="E59" s="6">
        <v>4.0</v>
      </c>
      <c r="F59" s="6">
        <v>2.0</v>
      </c>
      <c r="G59" s="6">
        <v>5.0</v>
      </c>
      <c r="H59" s="12">
        <v>2.0</v>
      </c>
      <c r="I59" s="6">
        <v>4.0</v>
      </c>
      <c r="J59" s="12">
        <v>3.0</v>
      </c>
      <c r="K59" s="12">
        <v>2.0</v>
      </c>
      <c r="L59" s="6">
        <v>5.0</v>
      </c>
      <c r="M59" s="6">
        <v>5.0</v>
      </c>
      <c r="N59" s="12">
        <v>4.0</v>
      </c>
      <c r="O59" s="6">
        <v>4.0</v>
      </c>
      <c r="P59" s="6">
        <v>1.0</v>
      </c>
      <c r="Q59" s="6">
        <v>4.0</v>
      </c>
      <c r="R59" s="6">
        <v>4.0</v>
      </c>
      <c r="S59" s="6">
        <v>4.0</v>
      </c>
      <c r="T59" s="12">
        <v>3.0</v>
      </c>
      <c r="U59" s="6">
        <v>3.0</v>
      </c>
      <c r="V59" s="6">
        <v>3.0</v>
      </c>
      <c r="W59" s="12">
        <v>3.0</v>
      </c>
      <c r="X59" s="6">
        <v>4.0</v>
      </c>
      <c r="Y59" s="12">
        <v>5.0</v>
      </c>
      <c r="Z59" s="12">
        <v>4.0</v>
      </c>
      <c r="AA59" s="6">
        <v>4.0</v>
      </c>
      <c r="AB59" s="6">
        <v>2.0</v>
      </c>
      <c r="AC59" s="12">
        <v>2.0</v>
      </c>
      <c r="AD59" s="6">
        <v>4.0</v>
      </c>
      <c r="AE59" s="6">
        <v>3.0</v>
      </c>
      <c r="AF59" s="6">
        <v>4.0</v>
      </c>
      <c r="AG59" s="12">
        <v>4.0</v>
      </c>
      <c r="AH59" s="6">
        <v>4.0</v>
      </c>
      <c r="AI59" s="6">
        <v>4.0</v>
      </c>
      <c r="AJ59" s="12">
        <v>1.0</v>
      </c>
      <c r="AK59" s="12">
        <v>5.0</v>
      </c>
      <c r="AL59" s="6">
        <v>4.0</v>
      </c>
      <c r="AM59" s="12">
        <v>2.0</v>
      </c>
      <c r="AN59" s="6">
        <v>5.0</v>
      </c>
      <c r="AO59" s="6">
        <v>1.0</v>
      </c>
      <c r="AP59" s="6">
        <v>3.0</v>
      </c>
      <c r="AQ59" s="12">
        <v>4.0</v>
      </c>
      <c r="AR59" s="6">
        <v>4.0</v>
      </c>
      <c r="AS59" s="12">
        <v>2.0</v>
      </c>
      <c r="AT59" s="6">
        <v>4.0</v>
      </c>
      <c r="AV59" s="6">
        <f t="shared" si="1"/>
        <v>1.145586254</v>
      </c>
      <c r="AX59" s="6">
        <f t="shared" si="2"/>
        <v>26</v>
      </c>
      <c r="AY59" s="6"/>
      <c r="BA59" s="6">
        <f t="shared" si="3"/>
        <v>31</v>
      </c>
      <c r="BB59" s="6"/>
      <c r="BD59" s="6">
        <f t="shared" si="4"/>
        <v>34</v>
      </c>
      <c r="BE59" s="6"/>
      <c r="BG59" s="6">
        <f t="shared" si="5"/>
        <v>17</v>
      </c>
      <c r="BH59" s="6"/>
      <c r="BJ59" s="6">
        <f t="shared" si="6"/>
        <v>41</v>
      </c>
      <c r="BK59" s="6"/>
      <c r="BQ59" s="15"/>
      <c r="CK59" s="8" t="s">
        <v>21</v>
      </c>
      <c r="CM59" s="4">
        <f t="shared" si="7"/>
        <v>2</v>
      </c>
      <c r="CN59" s="4"/>
      <c r="CO59" s="4">
        <f t="shared" si="8"/>
        <v>1</v>
      </c>
      <c r="CP59" s="4"/>
      <c r="CQ59" s="13">
        <f t="shared" si="9"/>
        <v>4</v>
      </c>
      <c r="CR59" s="4"/>
      <c r="CS59" s="4">
        <f t="shared" si="10"/>
        <v>0</v>
      </c>
      <c r="CT59" s="4"/>
      <c r="CU59" s="4">
        <f t="shared" si="11"/>
        <v>2</v>
      </c>
      <c r="CV59" s="4"/>
      <c r="CW59" s="4">
        <f t="shared" si="12"/>
        <v>1</v>
      </c>
      <c r="CX59" s="4"/>
      <c r="CY59" s="4">
        <f t="shared" si="13"/>
        <v>4</v>
      </c>
      <c r="CZ59" s="4"/>
      <c r="DA59" s="4">
        <f t="shared" si="14"/>
        <v>3</v>
      </c>
      <c r="DB59" s="4"/>
      <c r="DC59" s="4">
        <f t="shared" si="15"/>
        <v>0</v>
      </c>
      <c r="DD59" s="4"/>
      <c r="DE59" s="13">
        <f t="shared" si="16"/>
        <v>8</v>
      </c>
      <c r="DF59" s="4"/>
      <c r="DG59" s="4">
        <f t="shared" si="17"/>
        <v>2</v>
      </c>
      <c r="DH59" s="4"/>
      <c r="DI59" s="4">
        <f t="shared" si="18"/>
        <v>2</v>
      </c>
      <c r="DJ59" s="4"/>
      <c r="DL59" s="4" t="s">
        <v>95</v>
      </c>
      <c r="DP59" s="8"/>
    </row>
    <row r="60">
      <c r="B60" s="8" t="s">
        <v>22</v>
      </c>
      <c r="C60" s="6">
        <v>5.0</v>
      </c>
      <c r="D60" s="12">
        <v>3.0</v>
      </c>
      <c r="E60" s="6">
        <v>5.0</v>
      </c>
      <c r="F60" s="6">
        <v>1.0</v>
      </c>
      <c r="G60" s="6">
        <v>5.0</v>
      </c>
      <c r="H60" s="12">
        <v>1.0</v>
      </c>
      <c r="I60" s="6">
        <v>4.0</v>
      </c>
      <c r="J60" s="12">
        <v>3.0</v>
      </c>
      <c r="K60" s="12">
        <v>2.0</v>
      </c>
      <c r="L60" s="6">
        <v>5.0</v>
      </c>
      <c r="M60" s="6">
        <v>5.0</v>
      </c>
      <c r="N60" s="12">
        <v>5.0</v>
      </c>
      <c r="O60" s="6">
        <v>5.0</v>
      </c>
      <c r="P60" s="6">
        <v>3.0</v>
      </c>
      <c r="Q60" s="6">
        <v>4.0</v>
      </c>
      <c r="R60" s="6">
        <v>4.0</v>
      </c>
      <c r="S60" s="6">
        <v>5.0</v>
      </c>
      <c r="T60" s="12">
        <v>5.0</v>
      </c>
      <c r="U60" s="6">
        <v>2.0</v>
      </c>
      <c r="V60" s="6">
        <v>5.0</v>
      </c>
      <c r="W60" s="12">
        <v>2.0</v>
      </c>
      <c r="X60" s="6">
        <v>4.0</v>
      </c>
      <c r="Y60" s="12">
        <v>4.0</v>
      </c>
      <c r="Z60" s="12">
        <v>1.0</v>
      </c>
      <c r="AA60" s="6">
        <v>5.0</v>
      </c>
      <c r="AB60" s="6">
        <v>4.0</v>
      </c>
      <c r="AC60" s="12">
        <v>4.0</v>
      </c>
      <c r="AD60" s="6">
        <v>4.0</v>
      </c>
      <c r="AE60" s="6">
        <v>5.0</v>
      </c>
      <c r="AF60" s="6">
        <v>5.0</v>
      </c>
      <c r="AG60" s="12">
        <v>2.0</v>
      </c>
      <c r="AH60" s="6">
        <v>4.0</v>
      </c>
      <c r="AI60" s="6">
        <v>4.0</v>
      </c>
      <c r="AJ60" s="12">
        <v>3.0</v>
      </c>
      <c r="AK60" s="12">
        <v>5.0</v>
      </c>
      <c r="AL60" s="6">
        <v>5.0</v>
      </c>
      <c r="AM60" s="12">
        <v>1.0</v>
      </c>
      <c r="AN60" s="6">
        <v>5.0</v>
      </c>
      <c r="AO60" s="6">
        <v>1.0</v>
      </c>
      <c r="AP60" s="6">
        <v>5.0</v>
      </c>
      <c r="AQ60" s="12">
        <v>5.0</v>
      </c>
      <c r="AR60" s="6">
        <v>5.0</v>
      </c>
      <c r="AS60" s="12">
        <v>2.0</v>
      </c>
      <c r="AT60" s="6">
        <v>3.0</v>
      </c>
      <c r="AV60" s="6">
        <f t="shared" si="1"/>
        <v>1.416267614</v>
      </c>
      <c r="AX60" s="6">
        <f t="shared" si="2"/>
        <v>28</v>
      </c>
      <c r="AY60" s="6"/>
      <c r="BA60" s="6">
        <f t="shared" si="3"/>
        <v>35</v>
      </c>
      <c r="BB60" s="6"/>
      <c r="BD60" s="6">
        <f t="shared" si="4"/>
        <v>37</v>
      </c>
      <c r="BE60" s="6"/>
      <c r="BG60" s="6">
        <f t="shared" si="5"/>
        <v>18</v>
      </c>
      <c r="BH60" s="6"/>
      <c r="BJ60" s="6">
        <f t="shared" si="6"/>
        <v>47</v>
      </c>
      <c r="BK60" s="6"/>
      <c r="CK60" s="8" t="s">
        <v>22</v>
      </c>
      <c r="CM60" s="16">
        <f t="shared" si="7"/>
        <v>0</v>
      </c>
      <c r="CN60" s="16"/>
      <c r="CO60" s="16">
        <f t="shared" si="8"/>
        <v>0</v>
      </c>
      <c r="CP60" s="16"/>
      <c r="CQ60" s="16">
        <f t="shared" si="9"/>
        <v>0</v>
      </c>
      <c r="CR60" s="16"/>
      <c r="CS60" s="16">
        <f t="shared" si="10"/>
        <v>0</v>
      </c>
      <c r="CT60" s="16"/>
      <c r="CU60" s="16">
        <f t="shared" si="11"/>
        <v>0</v>
      </c>
      <c r="CV60" s="16"/>
      <c r="CW60" s="16">
        <f t="shared" si="12"/>
        <v>0</v>
      </c>
      <c r="CX60" s="16"/>
      <c r="CY60" s="16">
        <f t="shared" si="13"/>
        <v>0</v>
      </c>
      <c r="CZ60" s="16"/>
      <c r="DA60" s="16">
        <f t="shared" si="14"/>
        <v>0</v>
      </c>
      <c r="DB60" s="16"/>
      <c r="DC60" s="16">
        <f t="shared" si="15"/>
        <v>0</v>
      </c>
      <c r="DD60" s="16"/>
      <c r="DE60" s="16">
        <f t="shared" si="16"/>
        <v>0</v>
      </c>
      <c r="DF60" s="16"/>
      <c r="DG60" s="16">
        <f t="shared" si="17"/>
        <v>0</v>
      </c>
      <c r="DH60" s="16"/>
      <c r="DI60" s="16">
        <f t="shared" si="18"/>
        <v>0</v>
      </c>
      <c r="DJ60" s="16"/>
      <c r="DL60" s="4" t="s">
        <v>96</v>
      </c>
      <c r="DP60" s="8"/>
    </row>
    <row r="61">
      <c r="B61" s="8" t="s">
        <v>23</v>
      </c>
      <c r="C61" s="6">
        <v>3.0</v>
      </c>
      <c r="D61" s="12">
        <v>2.0</v>
      </c>
      <c r="E61" s="6">
        <v>4.0</v>
      </c>
      <c r="F61" s="6">
        <v>1.0</v>
      </c>
      <c r="G61" s="6">
        <v>5.0</v>
      </c>
      <c r="H61" s="12">
        <v>3.0</v>
      </c>
      <c r="I61" s="6">
        <v>4.0</v>
      </c>
      <c r="J61" s="12">
        <v>1.0</v>
      </c>
      <c r="K61" s="12">
        <v>2.0</v>
      </c>
      <c r="L61" s="6">
        <v>5.0</v>
      </c>
      <c r="M61" s="6">
        <v>4.0</v>
      </c>
      <c r="N61" s="12">
        <v>5.0</v>
      </c>
      <c r="O61" s="6">
        <v>3.0</v>
      </c>
      <c r="P61" s="6">
        <v>4.0</v>
      </c>
      <c r="Q61" s="6">
        <v>4.0</v>
      </c>
      <c r="R61" s="6">
        <v>4.0</v>
      </c>
      <c r="S61" s="6">
        <v>4.0</v>
      </c>
      <c r="T61" s="12">
        <v>2.0</v>
      </c>
      <c r="U61" s="6">
        <v>4.0</v>
      </c>
      <c r="V61" s="6">
        <v>5.0</v>
      </c>
      <c r="W61" s="12">
        <v>2.0</v>
      </c>
      <c r="X61" s="6">
        <v>4.0</v>
      </c>
      <c r="Y61" s="12">
        <v>1.0</v>
      </c>
      <c r="Z61" s="12">
        <v>2.0</v>
      </c>
      <c r="AA61" s="6">
        <v>5.0</v>
      </c>
      <c r="AB61" s="6">
        <v>5.0</v>
      </c>
      <c r="AC61" s="12">
        <v>5.0</v>
      </c>
      <c r="AD61" s="6">
        <v>3.0</v>
      </c>
      <c r="AE61" s="6">
        <v>3.0</v>
      </c>
      <c r="AF61" s="6">
        <v>5.0</v>
      </c>
      <c r="AG61" s="12">
        <v>4.0</v>
      </c>
      <c r="AH61" s="6">
        <v>3.0</v>
      </c>
      <c r="AI61" s="6">
        <v>5.0</v>
      </c>
      <c r="AJ61" s="12">
        <v>2.0</v>
      </c>
      <c r="AK61" s="12">
        <v>5.0</v>
      </c>
      <c r="AL61" s="6">
        <v>3.0</v>
      </c>
      <c r="AM61" s="12">
        <v>2.0</v>
      </c>
      <c r="AN61" s="6">
        <v>4.0</v>
      </c>
      <c r="AO61" s="6">
        <v>4.0</v>
      </c>
      <c r="AP61" s="6">
        <v>5.0</v>
      </c>
      <c r="AQ61" s="12">
        <v>5.0</v>
      </c>
      <c r="AR61" s="6">
        <v>4.0</v>
      </c>
      <c r="AS61" s="12">
        <v>3.0</v>
      </c>
      <c r="AT61" s="6">
        <v>3.0</v>
      </c>
      <c r="AV61" s="6">
        <f t="shared" si="1"/>
        <v>1.247407459</v>
      </c>
      <c r="AX61" s="6">
        <f t="shared" si="2"/>
        <v>28</v>
      </c>
      <c r="AY61" s="6"/>
      <c r="BA61" s="6">
        <f t="shared" si="3"/>
        <v>33</v>
      </c>
      <c r="BB61" s="6"/>
      <c r="BD61" s="6">
        <f t="shared" si="4"/>
        <v>26</v>
      </c>
      <c r="BE61" s="6"/>
      <c r="BG61" s="6">
        <f t="shared" si="5"/>
        <v>22</v>
      </c>
      <c r="BH61" s="6"/>
      <c r="BJ61" s="6">
        <f t="shared" si="6"/>
        <v>47</v>
      </c>
      <c r="BK61" s="6"/>
      <c r="CK61" s="9" t="s">
        <v>23</v>
      </c>
      <c r="CM61" s="16">
        <f t="shared" si="7"/>
        <v>3</v>
      </c>
      <c r="CN61" s="16"/>
      <c r="CO61" s="16">
        <f t="shared" si="8"/>
        <v>0</v>
      </c>
      <c r="CP61" s="16"/>
      <c r="CQ61" s="13">
        <f t="shared" si="9"/>
        <v>5</v>
      </c>
      <c r="CR61" s="16"/>
      <c r="CS61" s="16">
        <f t="shared" si="10"/>
        <v>3</v>
      </c>
      <c r="CT61" s="16"/>
      <c r="CU61" s="13">
        <f t="shared" si="11"/>
        <v>5</v>
      </c>
      <c r="CV61" s="16"/>
      <c r="CW61" s="16">
        <f t="shared" si="12"/>
        <v>3</v>
      </c>
      <c r="CX61" s="16"/>
      <c r="CY61" s="16">
        <f t="shared" si="13"/>
        <v>2</v>
      </c>
      <c r="CZ61" s="16"/>
      <c r="DA61" s="16">
        <f t="shared" si="14"/>
        <v>2</v>
      </c>
      <c r="DB61" s="16"/>
      <c r="DC61" s="16">
        <f t="shared" si="15"/>
        <v>3</v>
      </c>
      <c r="DD61" s="16"/>
      <c r="DE61" s="16">
        <f t="shared" si="16"/>
        <v>2</v>
      </c>
      <c r="DF61" s="16"/>
      <c r="DG61" s="16">
        <f t="shared" si="17"/>
        <v>0</v>
      </c>
      <c r="DH61" s="16"/>
      <c r="DI61" s="13">
        <f t="shared" si="18"/>
        <v>3</v>
      </c>
      <c r="DJ61" s="16"/>
      <c r="DL61" s="4" t="s">
        <v>97</v>
      </c>
      <c r="DP61" s="8"/>
    </row>
    <row r="62">
      <c r="B62" s="8" t="s">
        <v>24</v>
      </c>
      <c r="C62" s="6">
        <v>4.0</v>
      </c>
      <c r="D62" s="12">
        <v>4.0</v>
      </c>
      <c r="E62" s="6">
        <v>4.0</v>
      </c>
      <c r="F62" s="6">
        <v>2.0</v>
      </c>
      <c r="G62" s="6">
        <v>5.0</v>
      </c>
      <c r="H62" s="12">
        <v>4.0</v>
      </c>
      <c r="I62" s="6">
        <v>4.0</v>
      </c>
      <c r="J62" s="12">
        <v>3.0</v>
      </c>
      <c r="K62" s="12">
        <v>2.0</v>
      </c>
      <c r="L62" s="6">
        <v>5.0</v>
      </c>
      <c r="M62" s="6">
        <v>5.0</v>
      </c>
      <c r="N62" s="12">
        <v>4.0</v>
      </c>
      <c r="O62" s="6">
        <v>4.0</v>
      </c>
      <c r="P62" s="6">
        <v>4.0</v>
      </c>
      <c r="Q62" s="6">
        <v>4.0</v>
      </c>
      <c r="R62" s="6">
        <v>4.0</v>
      </c>
      <c r="S62" s="6">
        <v>4.0</v>
      </c>
      <c r="T62" s="12">
        <v>3.0</v>
      </c>
      <c r="U62" s="6">
        <v>2.0</v>
      </c>
      <c r="V62" s="6">
        <v>4.0</v>
      </c>
      <c r="W62" s="12">
        <v>5.0</v>
      </c>
      <c r="X62" s="6">
        <v>4.0</v>
      </c>
      <c r="Y62" s="12">
        <v>4.0</v>
      </c>
      <c r="Z62" s="12">
        <v>2.0</v>
      </c>
      <c r="AA62" s="6">
        <v>4.0</v>
      </c>
      <c r="AB62" s="6">
        <v>5.0</v>
      </c>
      <c r="AC62" s="12">
        <v>5.0</v>
      </c>
      <c r="AD62" s="6">
        <v>3.0</v>
      </c>
      <c r="AE62" s="6">
        <v>3.0</v>
      </c>
      <c r="AF62" s="6">
        <v>4.0</v>
      </c>
      <c r="AG62" s="12">
        <v>4.0</v>
      </c>
      <c r="AH62" s="6">
        <v>4.0</v>
      </c>
      <c r="AI62" s="6">
        <v>3.0</v>
      </c>
      <c r="AJ62" s="12">
        <v>3.0</v>
      </c>
      <c r="AK62" s="12">
        <v>4.0</v>
      </c>
      <c r="AL62" s="6">
        <v>5.0</v>
      </c>
      <c r="AM62" s="12">
        <v>2.0</v>
      </c>
      <c r="AN62" s="6">
        <v>4.0</v>
      </c>
      <c r="AO62" s="6">
        <v>3.0</v>
      </c>
      <c r="AP62" s="6">
        <v>5.0</v>
      </c>
      <c r="AQ62" s="12">
        <v>4.0</v>
      </c>
      <c r="AR62" s="6">
        <v>5.0</v>
      </c>
      <c r="AS62" s="12">
        <v>2.0</v>
      </c>
      <c r="AT62" s="6">
        <v>3.0</v>
      </c>
      <c r="AV62" s="6">
        <f t="shared" si="1"/>
        <v>0.9431515699</v>
      </c>
      <c r="AX62" s="6">
        <f t="shared" si="2"/>
        <v>36</v>
      </c>
      <c r="AY62" s="6"/>
      <c r="BA62" s="6">
        <f t="shared" si="3"/>
        <v>36</v>
      </c>
      <c r="BB62" s="6"/>
      <c r="BD62" s="6">
        <f t="shared" si="4"/>
        <v>30</v>
      </c>
      <c r="BE62" s="6"/>
      <c r="BG62" s="6">
        <f t="shared" si="5"/>
        <v>21</v>
      </c>
      <c r="BH62" s="6"/>
      <c r="BJ62" s="6">
        <f t="shared" si="6"/>
        <v>42</v>
      </c>
      <c r="BK62" s="6"/>
      <c r="CK62" s="8" t="s">
        <v>24</v>
      </c>
      <c r="CM62" s="16">
        <f t="shared" si="7"/>
        <v>0</v>
      </c>
      <c r="CN62" s="16"/>
      <c r="CO62" s="16">
        <f t="shared" si="8"/>
        <v>0</v>
      </c>
      <c r="CP62" s="16"/>
      <c r="CQ62" s="16">
        <f t="shared" si="9"/>
        <v>0</v>
      </c>
      <c r="CR62" s="16"/>
      <c r="CS62" s="16">
        <f t="shared" si="10"/>
        <v>0</v>
      </c>
      <c r="CT62" s="16"/>
      <c r="CU62" s="16">
        <f t="shared" si="11"/>
        <v>0</v>
      </c>
      <c r="CV62" s="16"/>
      <c r="CW62" s="16">
        <f t="shared" si="12"/>
        <v>0</v>
      </c>
      <c r="CX62" s="16"/>
      <c r="CY62" s="16">
        <f t="shared" si="13"/>
        <v>0</v>
      </c>
      <c r="CZ62" s="16"/>
      <c r="DA62" s="16">
        <f t="shared" si="14"/>
        <v>0</v>
      </c>
      <c r="DB62" s="16"/>
      <c r="DC62" s="16">
        <f t="shared" si="15"/>
        <v>0</v>
      </c>
      <c r="DD62" s="16"/>
      <c r="DE62" s="16">
        <f t="shared" si="16"/>
        <v>0</v>
      </c>
      <c r="DF62" s="16"/>
      <c r="DG62" s="16">
        <f t="shared" si="17"/>
        <v>0</v>
      </c>
      <c r="DH62" s="16"/>
      <c r="DI62" s="16">
        <f t="shared" si="18"/>
        <v>0</v>
      </c>
      <c r="DJ62" s="16"/>
      <c r="DL62" s="4" t="s">
        <v>98</v>
      </c>
      <c r="DP62" s="8"/>
    </row>
    <row r="63">
      <c r="B63" s="8" t="s">
        <v>25</v>
      </c>
      <c r="C63" s="6">
        <v>3.0</v>
      </c>
      <c r="D63" s="12">
        <v>4.0</v>
      </c>
      <c r="E63" s="6">
        <v>5.0</v>
      </c>
      <c r="F63" s="6">
        <v>2.0</v>
      </c>
      <c r="G63" s="6">
        <v>5.0</v>
      </c>
      <c r="H63" s="12">
        <v>3.0</v>
      </c>
      <c r="I63" s="6">
        <v>5.0</v>
      </c>
      <c r="J63" s="12">
        <v>3.0</v>
      </c>
      <c r="K63" s="12">
        <v>2.0</v>
      </c>
      <c r="L63" s="6">
        <v>5.0</v>
      </c>
      <c r="M63" s="6">
        <v>4.0</v>
      </c>
      <c r="N63" s="12">
        <v>4.0</v>
      </c>
      <c r="O63" s="6">
        <v>5.0</v>
      </c>
      <c r="P63" s="6">
        <v>4.0</v>
      </c>
      <c r="Q63" s="6">
        <v>4.0</v>
      </c>
      <c r="R63" s="6">
        <v>4.0</v>
      </c>
      <c r="S63" s="6">
        <v>4.0</v>
      </c>
      <c r="T63" s="12">
        <v>4.0</v>
      </c>
      <c r="U63" s="6">
        <v>1.0</v>
      </c>
      <c r="V63" s="6">
        <v>5.0</v>
      </c>
      <c r="W63" s="12">
        <v>4.0</v>
      </c>
      <c r="X63" s="6">
        <v>4.0</v>
      </c>
      <c r="Y63" s="12">
        <v>5.0</v>
      </c>
      <c r="Z63" s="12">
        <v>3.0</v>
      </c>
      <c r="AA63" s="6">
        <v>5.0</v>
      </c>
      <c r="AB63" s="6">
        <v>3.0</v>
      </c>
      <c r="AC63" s="12">
        <v>4.0</v>
      </c>
      <c r="AD63" s="6">
        <v>5.0</v>
      </c>
      <c r="AE63" s="6">
        <v>4.0</v>
      </c>
      <c r="AF63" s="6">
        <v>5.0</v>
      </c>
      <c r="AG63" s="12">
        <v>5.0</v>
      </c>
      <c r="AH63" s="6">
        <v>3.0</v>
      </c>
      <c r="AI63" s="6">
        <v>3.0</v>
      </c>
      <c r="AJ63" s="12">
        <v>3.0</v>
      </c>
      <c r="AK63" s="12">
        <v>5.0</v>
      </c>
      <c r="AL63" s="6">
        <v>4.0</v>
      </c>
      <c r="AM63" s="12">
        <v>2.0</v>
      </c>
      <c r="AN63" s="6">
        <v>5.0</v>
      </c>
      <c r="AO63" s="6">
        <v>2.0</v>
      </c>
      <c r="AP63" s="6">
        <v>4.0</v>
      </c>
      <c r="AQ63" s="12">
        <v>5.0</v>
      </c>
      <c r="AR63" s="6">
        <v>5.0</v>
      </c>
      <c r="AS63" s="12">
        <v>3.0</v>
      </c>
      <c r="AT63" s="6">
        <v>5.0</v>
      </c>
      <c r="AV63" s="6">
        <f t="shared" si="1"/>
        <v>1.074399385</v>
      </c>
      <c r="AX63" s="6">
        <f t="shared" si="2"/>
        <v>30</v>
      </c>
      <c r="AY63" s="6"/>
      <c r="BA63" s="6">
        <f t="shared" si="3"/>
        <v>35</v>
      </c>
      <c r="BB63" s="6"/>
      <c r="BD63" s="6">
        <f t="shared" si="4"/>
        <v>38</v>
      </c>
      <c r="BE63" s="6"/>
      <c r="BG63" s="6">
        <f t="shared" si="5"/>
        <v>21</v>
      </c>
      <c r="BH63" s="6"/>
      <c r="BJ63" s="6">
        <f t="shared" si="6"/>
        <v>48</v>
      </c>
      <c r="BK63" s="6"/>
      <c r="CK63" s="8" t="s">
        <v>25</v>
      </c>
      <c r="CM63" s="16">
        <f t="shared" si="7"/>
        <v>0</v>
      </c>
      <c r="CN63" s="16"/>
      <c r="CO63" s="16">
        <f t="shared" si="8"/>
        <v>0</v>
      </c>
      <c r="CP63" s="16"/>
      <c r="CQ63" s="16">
        <f t="shared" si="9"/>
        <v>1</v>
      </c>
      <c r="CR63" s="16"/>
      <c r="CS63" s="16">
        <f t="shared" si="10"/>
        <v>0</v>
      </c>
      <c r="CT63" s="16"/>
      <c r="CU63" s="16">
        <f t="shared" si="11"/>
        <v>0</v>
      </c>
      <c r="CV63" s="16"/>
      <c r="CW63" s="16">
        <f t="shared" si="12"/>
        <v>0</v>
      </c>
      <c r="CX63" s="16"/>
      <c r="CY63" s="16">
        <f t="shared" si="13"/>
        <v>0</v>
      </c>
      <c r="CZ63" s="16"/>
      <c r="DA63" s="16">
        <f t="shared" si="14"/>
        <v>0</v>
      </c>
      <c r="DB63" s="16"/>
      <c r="DC63" s="17">
        <f t="shared" si="15"/>
        <v>0</v>
      </c>
      <c r="DD63" s="16"/>
      <c r="DE63" s="17">
        <f t="shared" si="16"/>
        <v>0</v>
      </c>
      <c r="DF63" s="16"/>
      <c r="DG63" s="17">
        <f t="shared" si="17"/>
        <v>0</v>
      </c>
      <c r="DH63" s="16"/>
      <c r="DI63" s="17">
        <f t="shared" si="18"/>
        <v>1</v>
      </c>
      <c r="DJ63" s="16"/>
      <c r="DL63" s="4" t="s">
        <v>99</v>
      </c>
      <c r="DP63" s="8"/>
    </row>
    <row r="64">
      <c r="B64" s="8" t="s">
        <v>26</v>
      </c>
      <c r="C64" s="6">
        <v>5.0</v>
      </c>
      <c r="D64" s="12">
        <v>2.0</v>
      </c>
      <c r="E64" s="6">
        <v>2.0</v>
      </c>
      <c r="F64" s="6">
        <v>1.0</v>
      </c>
      <c r="G64" s="6">
        <v>5.0</v>
      </c>
      <c r="H64" s="12">
        <v>2.0</v>
      </c>
      <c r="I64" s="6">
        <v>1.0</v>
      </c>
      <c r="J64" s="12">
        <v>5.0</v>
      </c>
      <c r="K64" s="12">
        <v>5.0</v>
      </c>
      <c r="L64" s="6">
        <v>5.0</v>
      </c>
      <c r="M64" s="6">
        <v>5.0</v>
      </c>
      <c r="N64" s="12">
        <v>2.0</v>
      </c>
      <c r="O64" s="6">
        <v>3.0</v>
      </c>
      <c r="P64" s="6">
        <v>4.0</v>
      </c>
      <c r="Q64" s="6">
        <v>5.0</v>
      </c>
      <c r="R64" s="6">
        <v>5.0</v>
      </c>
      <c r="S64" s="6">
        <v>5.0</v>
      </c>
      <c r="T64" s="12">
        <v>5.0</v>
      </c>
      <c r="U64" s="6">
        <v>1.0</v>
      </c>
      <c r="V64" s="6">
        <v>5.0</v>
      </c>
      <c r="W64" s="12">
        <v>2.0</v>
      </c>
      <c r="X64" s="6">
        <v>3.0</v>
      </c>
      <c r="Y64" s="12">
        <v>2.0</v>
      </c>
      <c r="Z64" s="12">
        <v>4.0</v>
      </c>
      <c r="AA64" s="6">
        <v>5.0</v>
      </c>
      <c r="AB64" s="6">
        <v>5.0</v>
      </c>
      <c r="AC64" s="12">
        <v>1.0</v>
      </c>
      <c r="AD64" s="6">
        <v>2.0</v>
      </c>
      <c r="AE64" s="6">
        <v>4.0</v>
      </c>
      <c r="AF64" s="6">
        <v>5.0</v>
      </c>
      <c r="AG64" s="12">
        <v>2.0</v>
      </c>
      <c r="AH64" s="6">
        <v>2.0</v>
      </c>
      <c r="AI64" s="6">
        <v>5.0</v>
      </c>
      <c r="AJ64" s="12">
        <v>2.0</v>
      </c>
      <c r="AK64" s="12">
        <v>5.0</v>
      </c>
      <c r="AL64" s="6">
        <v>3.0</v>
      </c>
      <c r="AM64" s="12">
        <v>2.0</v>
      </c>
      <c r="AN64" s="6">
        <v>4.0</v>
      </c>
      <c r="AO64" s="6">
        <v>3.0</v>
      </c>
      <c r="AP64" s="6">
        <v>4.0</v>
      </c>
      <c r="AQ64" s="12">
        <v>5.0</v>
      </c>
      <c r="AR64" s="6">
        <v>4.0</v>
      </c>
      <c r="AS64" s="12">
        <v>2.0</v>
      </c>
      <c r="AT64" s="6">
        <v>5.0</v>
      </c>
      <c r="AV64" s="6">
        <f t="shared" si="1"/>
        <v>1.486372203</v>
      </c>
      <c r="AX64" s="6">
        <f t="shared" si="2"/>
        <v>29</v>
      </c>
      <c r="AY64" s="6"/>
      <c r="BA64" s="6">
        <f t="shared" si="3"/>
        <v>22</v>
      </c>
      <c r="BB64" s="6"/>
      <c r="BD64" s="6">
        <f t="shared" si="4"/>
        <v>30</v>
      </c>
      <c r="BE64" s="6"/>
      <c r="BG64" s="6">
        <f t="shared" si="5"/>
        <v>24</v>
      </c>
      <c r="BH64" s="6"/>
      <c r="BJ64" s="6">
        <f t="shared" si="6"/>
        <v>49</v>
      </c>
      <c r="BK64" s="6"/>
      <c r="CK64" s="8" t="s">
        <v>26</v>
      </c>
      <c r="CM64" s="16">
        <f t="shared" si="7"/>
        <v>3</v>
      </c>
      <c r="CN64" s="16"/>
      <c r="CO64" s="16">
        <f t="shared" si="8"/>
        <v>0</v>
      </c>
      <c r="CP64" s="16"/>
      <c r="CQ64" s="13">
        <f t="shared" si="9"/>
        <v>5</v>
      </c>
      <c r="CR64" s="16"/>
      <c r="CS64" s="16">
        <f t="shared" si="10"/>
        <v>2</v>
      </c>
      <c r="CT64" s="16"/>
      <c r="CU64" s="16">
        <f t="shared" si="11"/>
        <v>1</v>
      </c>
      <c r="CV64" s="16"/>
      <c r="CW64" s="16">
        <f t="shared" si="12"/>
        <v>2</v>
      </c>
      <c r="CX64" s="16"/>
      <c r="CY64" s="16">
        <f t="shared" si="13"/>
        <v>3</v>
      </c>
      <c r="CZ64" s="16"/>
      <c r="DA64" s="16">
        <f t="shared" si="14"/>
        <v>1</v>
      </c>
      <c r="DB64" s="16"/>
      <c r="DC64" s="13">
        <f t="shared" si="15"/>
        <v>6</v>
      </c>
      <c r="DD64" s="16"/>
      <c r="DE64" s="13">
        <f t="shared" si="16"/>
        <v>8</v>
      </c>
      <c r="DF64" s="16"/>
      <c r="DG64" s="13">
        <f t="shared" si="17"/>
        <v>6</v>
      </c>
      <c r="DH64" s="16"/>
      <c r="DI64" s="13">
        <f t="shared" si="18"/>
        <v>3</v>
      </c>
      <c r="DJ64" s="16"/>
      <c r="DL64" s="4" t="s">
        <v>100</v>
      </c>
      <c r="DP64" s="8"/>
    </row>
    <row r="65">
      <c r="B65" s="9" t="s">
        <v>27</v>
      </c>
      <c r="C65" s="6">
        <v>4.0</v>
      </c>
      <c r="D65" s="12">
        <v>4.0</v>
      </c>
      <c r="E65" s="6">
        <v>5.0</v>
      </c>
      <c r="F65" s="6">
        <v>1.0</v>
      </c>
      <c r="G65" s="6">
        <v>4.0</v>
      </c>
      <c r="H65" s="12">
        <v>4.0</v>
      </c>
      <c r="I65" s="6">
        <v>5.0</v>
      </c>
      <c r="J65" s="12">
        <v>4.0</v>
      </c>
      <c r="K65" s="12">
        <v>2.0</v>
      </c>
      <c r="L65" s="6">
        <v>5.0</v>
      </c>
      <c r="M65" s="6">
        <v>4.0</v>
      </c>
      <c r="N65" s="12">
        <v>5.0</v>
      </c>
      <c r="O65" s="6">
        <v>5.0</v>
      </c>
      <c r="P65" s="6">
        <v>4.0</v>
      </c>
      <c r="Q65" s="6">
        <v>4.0</v>
      </c>
      <c r="R65" s="6">
        <v>4.0</v>
      </c>
      <c r="S65" s="6">
        <v>5.0</v>
      </c>
      <c r="T65" s="12">
        <v>4.0</v>
      </c>
      <c r="U65" s="6">
        <v>1.0</v>
      </c>
      <c r="V65" s="6">
        <v>4.0</v>
      </c>
      <c r="W65" s="12">
        <v>4.0</v>
      </c>
      <c r="X65" s="6">
        <v>4.0</v>
      </c>
      <c r="Y65" s="12">
        <v>4.0</v>
      </c>
      <c r="Z65" s="12">
        <v>2.0</v>
      </c>
      <c r="AA65" s="6">
        <v>4.0</v>
      </c>
      <c r="AB65" s="6">
        <v>4.0</v>
      </c>
      <c r="AC65" s="12">
        <v>4.0</v>
      </c>
      <c r="AD65" s="6">
        <v>5.0</v>
      </c>
      <c r="AE65" s="6">
        <v>3.0</v>
      </c>
      <c r="AF65" s="6">
        <v>4.0</v>
      </c>
      <c r="AG65" s="12">
        <v>3.0</v>
      </c>
      <c r="AH65" s="6">
        <v>5.0</v>
      </c>
      <c r="AI65" s="6">
        <v>5.0</v>
      </c>
      <c r="AJ65" s="12">
        <v>2.0</v>
      </c>
      <c r="AK65" s="12">
        <v>4.0</v>
      </c>
      <c r="AL65" s="6">
        <v>5.0</v>
      </c>
      <c r="AM65" s="12">
        <v>4.0</v>
      </c>
      <c r="AN65" s="6">
        <v>5.0</v>
      </c>
      <c r="AO65" s="6">
        <v>3.0</v>
      </c>
      <c r="AP65" s="6">
        <v>5.0</v>
      </c>
      <c r="AQ65" s="12">
        <v>5.0</v>
      </c>
      <c r="AR65" s="6">
        <v>5.0</v>
      </c>
      <c r="AS65" s="12">
        <v>2.0</v>
      </c>
      <c r="AT65" s="6">
        <v>4.0</v>
      </c>
      <c r="AV65" s="6">
        <f t="shared" si="1"/>
        <v>1.086871492</v>
      </c>
      <c r="AX65" s="6">
        <f t="shared" si="2"/>
        <v>32</v>
      </c>
      <c r="AY65" s="6"/>
      <c r="BA65" s="6">
        <f t="shared" si="3"/>
        <v>41</v>
      </c>
      <c r="BB65" s="6"/>
      <c r="BD65" s="6">
        <f t="shared" si="4"/>
        <v>39</v>
      </c>
      <c r="BE65" s="6"/>
      <c r="BG65" s="6">
        <f t="shared" si="5"/>
        <v>18</v>
      </c>
      <c r="BH65" s="6"/>
      <c r="BJ65" s="6">
        <f t="shared" si="6"/>
        <v>43</v>
      </c>
      <c r="BK65" s="6"/>
      <c r="CK65" s="9" t="s">
        <v>27</v>
      </c>
      <c r="CM65" s="16">
        <f t="shared" si="7"/>
        <v>2</v>
      </c>
      <c r="CN65" s="16"/>
      <c r="CO65" s="16">
        <f t="shared" si="8"/>
        <v>1</v>
      </c>
      <c r="CP65" s="16"/>
      <c r="CQ65" s="13">
        <f t="shared" si="9"/>
        <v>5</v>
      </c>
      <c r="CR65" s="16"/>
      <c r="CS65" s="16">
        <f t="shared" si="10"/>
        <v>1</v>
      </c>
      <c r="CT65" s="16"/>
      <c r="CU65" s="16">
        <f t="shared" si="11"/>
        <v>2</v>
      </c>
      <c r="CV65" s="16"/>
      <c r="CW65" s="16">
        <f t="shared" si="12"/>
        <v>0</v>
      </c>
      <c r="CX65" s="16"/>
      <c r="CY65" s="16">
        <f t="shared" si="13"/>
        <v>4</v>
      </c>
      <c r="CZ65" s="16"/>
      <c r="DA65" s="16">
        <f t="shared" si="14"/>
        <v>0</v>
      </c>
      <c r="DB65" s="16"/>
      <c r="DC65" s="13">
        <f t="shared" si="15"/>
        <v>5</v>
      </c>
      <c r="DD65" s="16"/>
      <c r="DE65" s="4">
        <f t="shared" si="16"/>
        <v>4</v>
      </c>
      <c r="DF65" s="16"/>
      <c r="DG65" s="6">
        <f t="shared" si="17"/>
        <v>1</v>
      </c>
      <c r="DH65" s="16"/>
      <c r="DI65" s="13">
        <f t="shared" si="18"/>
        <v>4</v>
      </c>
      <c r="DJ65" s="16"/>
      <c r="DL65" s="4" t="s">
        <v>101</v>
      </c>
      <c r="DP65" s="18" t="s">
        <v>27</v>
      </c>
    </row>
    <row r="66">
      <c r="B66" s="9" t="s">
        <v>28</v>
      </c>
      <c r="C66" s="6">
        <v>5.0</v>
      </c>
      <c r="D66" s="12">
        <v>3.0</v>
      </c>
      <c r="E66" s="6">
        <v>4.0</v>
      </c>
      <c r="F66" s="6">
        <v>2.0</v>
      </c>
      <c r="G66" s="6">
        <v>3.0</v>
      </c>
      <c r="H66" s="12">
        <v>3.0</v>
      </c>
      <c r="I66" s="6">
        <v>5.0</v>
      </c>
      <c r="J66" s="12">
        <v>4.0</v>
      </c>
      <c r="K66" s="12">
        <v>3.0</v>
      </c>
      <c r="L66" s="6">
        <v>5.0</v>
      </c>
      <c r="M66" s="6">
        <v>5.0</v>
      </c>
      <c r="N66" s="12">
        <v>4.0</v>
      </c>
      <c r="O66" s="6">
        <v>5.0</v>
      </c>
      <c r="P66" s="6">
        <v>2.0</v>
      </c>
      <c r="Q66" s="6">
        <v>5.0</v>
      </c>
      <c r="R66" s="6">
        <v>3.0</v>
      </c>
      <c r="S66" s="6">
        <v>5.0</v>
      </c>
      <c r="T66" s="12">
        <v>5.0</v>
      </c>
      <c r="U66" s="6">
        <v>3.0</v>
      </c>
      <c r="V66" s="6">
        <v>3.0</v>
      </c>
      <c r="W66" s="12">
        <v>4.0</v>
      </c>
      <c r="X66" s="6">
        <v>5.0</v>
      </c>
      <c r="Y66" s="12">
        <v>5.0</v>
      </c>
      <c r="Z66" s="12">
        <v>3.0</v>
      </c>
      <c r="AA66" s="6">
        <v>3.0</v>
      </c>
      <c r="AB66" s="6">
        <v>4.0</v>
      </c>
      <c r="AC66" s="12">
        <v>3.0</v>
      </c>
      <c r="AD66" s="6">
        <v>5.0</v>
      </c>
      <c r="AE66" s="6">
        <v>3.0</v>
      </c>
      <c r="AF66" s="6">
        <v>5.0</v>
      </c>
      <c r="AG66" s="12">
        <v>3.0</v>
      </c>
      <c r="AH66" s="6">
        <v>4.0</v>
      </c>
      <c r="AI66" s="6">
        <v>5.0</v>
      </c>
      <c r="AJ66" s="12">
        <v>3.0</v>
      </c>
      <c r="AK66" s="12">
        <v>5.0</v>
      </c>
      <c r="AL66" s="6">
        <v>5.0</v>
      </c>
      <c r="AM66" s="12">
        <v>3.0</v>
      </c>
      <c r="AN66" s="6">
        <v>5.0</v>
      </c>
      <c r="AO66" s="6">
        <v>3.0</v>
      </c>
      <c r="AP66" s="6">
        <v>5.0</v>
      </c>
      <c r="AQ66" s="12">
        <v>5.0</v>
      </c>
      <c r="AR66" s="6">
        <v>5.0</v>
      </c>
      <c r="AS66" s="12">
        <v>2.0</v>
      </c>
      <c r="AT66" s="6">
        <v>5.0</v>
      </c>
      <c r="AV66" s="6">
        <f t="shared" si="1"/>
        <v>1.04522472</v>
      </c>
      <c r="AX66" s="6">
        <f t="shared" si="2"/>
        <v>32</v>
      </c>
      <c r="AY66" s="6"/>
      <c r="BA66" s="6">
        <f t="shared" si="3"/>
        <v>37</v>
      </c>
      <c r="BB66" s="6"/>
      <c r="BD66" s="6">
        <f t="shared" si="4"/>
        <v>40</v>
      </c>
      <c r="BE66" s="6"/>
      <c r="BG66" s="6">
        <f t="shared" si="5"/>
        <v>22</v>
      </c>
      <c r="BH66" s="6"/>
      <c r="BJ66" s="6">
        <f t="shared" si="6"/>
        <v>44</v>
      </c>
      <c r="BK66" s="6"/>
      <c r="CK66" s="9" t="s">
        <v>28</v>
      </c>
      <c r="CM66" s="16">
        <f t="shared" si="7"/>
        <v>2</v>
      </c>
      <c r="CN66" s="16"/>
      <c r="CO66" s="16">
        <f t="shared" si="8"/>
        <v>2</v>
      </c>
      <c r="CP66" s="16"/>
      <c r="CQ66" s="13">
        <f t="shared" si="9"/>
        <v>6</v>
      </c>
      <c r="CR66" s="16"/>
      <c r="CS66" s="16">
        <f t="shared" si="10"/>
        <v>1</v>
      </c>
      <c r="CT66" s="16"/>
      <c r="CU66" s="16">
        <f t="shared" si="11"/>
        <v>3</v>
      </c>
      <c r="CV66" s="16"/>
      <c r="CW66" s="16">
        <f t="shared" si="12"/>
        <v>0</v>
      </c>
      <c r="CX66" s="16"/>
      <c r="CY66" s="16">
        <f t="shared" si="13"/>
        <v>4</v>
      </c>
      <c r="CZ66" s="16"/>
      <c r="DA66" s="16">
        <f t="shared" si="14"/>
        <v>0</v>
      </c>
      <c r="DB66" s="16"/>
      <c r="DC66" s="6">
        <f t="shared" si="15"/>
        <v>3</v>
      </c>
      <c r="DD66" s="16"/>
      <c r="DE66" s="13">
        <f t="shared" si="16"/>
        <v>6</v>
      </c>
      <c r="DF66" s="16"/>
      <c r="DG66" s="16">
        <f t="shared" si="17"/>
        <v>3</v>
      </c>
      <c r="DH66" s="16"/>
      <c r="DI66" s="6">
        <f t="shared" si="18"/>
        <v>0</v>
      </c>
      <c r="DJ66" s="16"/>
      <c r="DL66" s="4" t="s">
        <v>102</v>
      </c>
      <c r="DP66" s="18" t="s">
        <v>28</v>
      </c>
    </row>
    <row r="67">
      <c r="B67" s="8" t="s">
        <v>29</v>
      </c>
      <c r="C67" s="6">
        <v>4.0</v>
      </c>
      <c r="D67" s="12">
        <v>1.0</v>
      </c>
      <c r="E67" s="6">
        <v>3.0</v>
      </c>
      <c r="F67" s="6">
        <v>1.0</v>
      </c>
      <c r="G67" s="6">
        <v>5.0</v>
      </c>
      <c r="H67" s="12">
        <v>3.0</v>
      </c>
      <c r="I67" s="6">
        <v>4.0</v>
      </c>
      <c r="J67" s="12">
        <v>5.0</v>
      </c>
      <c r="K67" s="12">
        <v>1.0</v>
      </c>
      <c r="L67" s="6">
        <v>5.0</v>
      </c>
      <c r="M67" s="6">
        <v>4.0</v>
      </c>
      <c r="N67" s="12">
        <v>5.0</v>
      </c>
      <c r="O67" s="6">
        <v>5.0</v>
      </c>
      <c r="P67" s="6">
        <v>2.0</v>
      </c>
      <c r="Q67" s="6">
        <v>4.0</v>
      </c>
      <c r="R67" s="6">
        <v>2.0</v>
      </c>
      <c r="S67" s="6">
        <v>4.0</v>
      </c>
      <c r="T67" s="12">
        <v>4.0</v>
      </c>
      <c r="U67" s="6">
        <v>4.0</v>
      </c>
      <c r="V67" s="6">
        <v>5.0</v>
      </c>
      <c r="W67" s="12">
        <v>3.0</v>
      </c>
      <c r="X67" s="6">
        <v>5.0</v>
      </c>
      <c r="Y67" s="12">
        <v>2.0</v>
      </c>
      <c r="Z67" s="12">
        <v>1.0</v>
      </c>
      <c r="AA67" s="6">
        <v>4.0</v>
      </c>
      <c r="AB67" s="6">
        <v>5.0</v>
      </c>
      <c r="AC67" s="12">
        <v>5.0</v>
      </c>
      <c r="AD67" s="6">
        <v>5.0</v>
      </c>
      <c r="AE67" s="6">
        <v>1.0</v>
      </c>
      <c r="AF67" s="6">
        <v>5.0</v>
      </c>
      <c r="AG67" s="12">
        <v>2.0</v>
      </c>
      <c r="AH67" s="6">
        <v>5.0</v>
      </c>
      <c r="AI67" s="6">
        <v>4.0</v>
      </c>
      <c r="AJ67" s="12">
        <v>2.0</v>
      </c>
      <c r="AK67" s="12">
        <v>5.0</v>
      </c>
      <c r="AL67" s="6">
        <v>4.0</v>
      </c>
      <c r="AM67" s="12">
        <v>2.0</v>
      </c>
      <c r="AN67" s="6">
        <v>4.0</v>
      </c>
      <c r="AO67" s="6">
        <v>3.0</v>
      </c>
      <c r="AP67" s="6">
        <v>5.0</v>
      </c>
      <c r="AQ67" s="12">
        <v>5.0</v>
      </c>
      <c r="AR67" s="6">
        <v>4.0</v>
      </c>
      <c r="AS67" s="12">
        <v>2.0</v>
      </c>
      <c r="AT67" s="6">
        <v>4.0</v>
      </c>
      <c r="AV67" s="6">
        <f t="shared" si="1"/>
        <v>1.402956709</v>
      </c>
      <c r="AX67" s="6">
        <f t="shared" si="2"/>
        <v>27</v>
      </c>
      <c r="AY67" s="6"/>
      <c r="BA67" s="6">
        <f t="shared" si="3"/>
        <v>35</v>
      </c>
      <c r="BB67" s="6"/>
      <c r="BD67" s="6">
        <f t="shared" si="4"/>
        <v>34</v>
      </c>
      <c r="BE67" s="6"/>
      <c r="BG67" s="6">
        <f t="shared" si="5"/>
        <v>15</v>
      </c>
      <c r="BH67" s="6"/>
      <c r="BJ67" s="6">
        <f t="shared" si="6"/>
        <v>47</v>
      </c>
      <c r="BK67" s="6"/>
      <c r="CK67" s="9" t="s">
        <v>29</v>
      </c>
      <c r="CM67" s="16">
        <f t="shared" si="7"/>
        <v>2</v>
      </c>
      <c r="CN67" s="16"/>
      <c r="CO67" s="16">
        <f t="shared" si="8"/>
        <v>1</v>
      </c>
      <c r="CP67" s="16"/>
      <c r="CQ67" s="13">
        <f t="shared" si="9"/>
        <v>5</v>
      </c>
      <c r="CR67" s="16"/>
      <c r="CS67" s="16">
        <f t="shared" si="10"/>
        <v>1</v>
      </c>
      <c r="CT67" s="16"/>
      <c r="CU67" s="16">
        <f t="shared" si="11"/>
        <v>3</v>
      </c>
      <c r="CV67" s="16"/>
      <c r="CW67" s="16">
        <f t="shared" si="12"/>
        <v>1</v>
      </c>
      <c r="CX67" s="16"/>
      <c r="CY67" s="16">
        <f t="shared" si="13"/>
        <v>3</v>
      </c>
      <c r="CZ67" s="16"/>
      <c r="DA67" s="16">
        <f t="shared" si="14"/>
        <v>0</v>
      </c>
      <c r="DB67" s="16"/>
      <c r="DC67" s="16">
        <f t="shared" si="15"/>
        <v>3</v>
      </c>
      <c r="DD67" s="16"/>
      <c r="DE67" s="6">
        <f t="shared" si="16"/>
        <v>1</v>
      </c>
      <c r="DF67" s="16"/>
      <c r="DG67" s="16">
        <f t="shared" si="17"/>
        <v>0</v>
      </c>
      <c r="DH67" s="16"/>
      <c r="DI67" s="16">
        <f t="shared" si="18"/>
        <v>1</v>
      </c>
      <c r="DJ67" s="16"/>
      <c r="DL67" s="4" t="s">
        <v>103</v>
      </c>
      <c r="DP67" s="14" t="s">
        <v>29</v>
      </c>
    </row>
    <row r="68">
      <c r="B68" s="8" t="s">
        <v>30</v>
      </c>
      <c r="C68" s="6">
        <v>4.0</v>
      </c>
      <c r="D68" s="12">
        <v>2.0</v>
      </c>
      <c r="E68" s="6">
        <v>4.0</v>
      </c>
      <c r="F68" s="6">
        <v>1.0</v>
      </c>
      <c r="G68" s="6">
        <v>4.0</v>
      </c>
      <c r="H68" s="12">
        <v>2.0</v>
      </c>
      <c r="I68" s="6">
        <v>4.0</v>
      </c>
      <c r="J68" s="12">
        <v>3.0</v>
      </c>
      <c r="K68" s="12">
        <v>2.0</v>
      </c>
      <c r="L68" s="6">
        <v>5.0</v>
      </c>
      <c r="M68" s="6">
        <v>4.0</v>
      </c>
      <c r="N68" s="12">
        <v>5.0</v>
      </c>
      <c r="O68" s="6">
        <v>4.0</v>
      </c>
      <c r="P68" s="6">
        <v>2.0</v>
      </c>
      <c r="Q68" s="6">
        <v>4.0</v>
      </c>
      <c r="R68" s="6">
        <v>4.0</v>
      </c>
      <c r="S68" s="6">
        <v>4.0</v>
      </c>
      <c r="T68" s="12">
        <v>3.0</v>
      </c>
      <c r="U68" s="6">
        <v>4.0</v>
      </c>
      <c r="V68" s="6">
        <v>5.0</v>
      </c>
      <c r="W68" s="12">
        <v>3.0</v>
      </c>
      <c r="X68" s="6">
        <v>4.0</v>
      </c>
      <c r="Y68" s="12">
        <v>3.0</v>
      </c>
      <c r="Z68" s="12">
        <v>3.0</v>
      </c>
      <c r="AA68" s="6">
        <v>5.0</v>
      </c>
      <c r="AB68" s="6">
        <v>4.0</v>
      </c>
      <c r="AC68" s="12">
        <v>3.0</v>
      </c>
      <c r="AD68" s="6">
        <v>3.0</v>
      </c>
      <c r="AE68" s="6">
        <v>3.0</v>
      </c>
      <c r="AF68" s="6">
        <v>5.0</v>
      </c>
      <c r="AG68" s="12">
        <v>4.0</v>
      </c>
      <c r="AH68" s="6">
        <v>3.0</v>
      </c>
      <c r="AI68" s="6">
        <v>4.0</v>
      </c>
      <c r="AJ68" s="12">
        <v>2.0</v>
      </c>
      <c r="AK68" s="12">
        <v>3.0</v>
      </c>
      <c r="AL68" s="6">
        <v>4.0</v>
      </c>
      <c r="AM68" s="12">
        <v>3.0</v>
      </c>
      <c r="AN68" s="6">
        <v>4.0</v>
      </c>
      <c r="AO68" s="6">
        <v>2.0</v>
      </c>
      <c r="AP68" s="6">
        <v>4.0</v>
      </c>
      <c r="AQ68" s="12">
        <v>5.0</v>
      </c>
      <c r="AR68" s="6">
        <v>4.0</v>
      </c>
      <c r="AS68" s="12">
        <v>2.0</v>
      </c>
      <c r="AT68" s="6">
        <v>5.0</v>
      </c>
      <c r="AV68" s="6">
        <f t="shared" si="1"/>
        <v>1.022733145</v>
      </c>
      <c r="AX68" s="6">
        <f t="shared" si="2"/>
        <v>29</v>
      </c>
      <c r="AY68" s="6"/>
      <c r="BA68" s="6">
        <f t="shared" si="3"/>
        <v>32</v>
      </c>
      <c r="BB68" s="6"/>
      <c r="BD68" s="6">
        <f t="shared" si="4"/>
        <v>30</v>
      </c>
      <c r="BE68" s="6"/>
      <c r="BG68" s="6">
        <f t="shared" si="5"/>
        <v>19</v>
      </c>
      <c r="BH68" s="6"/>
      <c r="BJ68" s="6">
        <f t="shared" si="6"/>
        <v>45</v>
      </c>
      <c r="BK68" s="6"/>
      <c r="CK68" s="8" t="s">
        <v>30</v>
      </c>
      <c r="CM68" s="16">
        <f t="shared" si="7"/>
        <v>0</v>
      </c>
      <c r="CN68" s="16"/>
      <c r="CO68" s="16">
        <f t="shared" si="8"/>
        <v>0</v>
      </c>
      <c r="CP68" s="16"/>
      <c r="CQ68" s="19">
        <f t="shared" si="9"/>
        <v>4</v>
      </c>
      <c r="CR68" s="16"/>
      <c r="CS68" s="17">
        <f t="shared" si="10"/>
        <v>0</v>
      </c>
      <c r="CT68" s="16"/>
      <c r="CU68" s="17">
        <f t="shared" si="11"/>
        <v>0</v>
      </c>
      <c r="CV68" s="16"/>
      <c r="CW68" s="17">
        <f t="shared" si="12"/>
        <v>0</v>
      </c>
      <c r="CX68" s="16"/>
      <c r="CY68" s="16">
        <f t="shared" si="13"/>
        <v>0</v>
      </c>
      <c r="CZ68" s="16"/>
      <c r="DA68" s="16">
        <f t="shared" si="14"/>
        <v>0</v>
      </c>
      <c r="DB68" s="16"/>
      <c r="DC68" s="16">
        <f t="shared" si="15"/>
        <v>2</v>
      </c>
      <c r="DD68" s="16"/>
      <c r="DE68" s="17">
        <f t="shared" si="16"/>
        <v>3</v>
      </c>
      <c r="DF68" s="16"/>
      <c r="DG68" s="17">
        <f t="shared" si="17"/>
        <v>0</v>
      </c>
      <c r="DH68" s="16"/>
      <c r="DI68" s="16">
        <f t="shared" si="18"/>
        <v>0</v>
      </c>
      <c r="DJ68" s="16"/>
      <c r="DL68" s="4" t="s">
        <v>104</v>
      </c>
      <c r="DP68" s="8"/>
    </row>
    <row r="69">
      <c r="B69" s="8" t="s">
        <v>31</v>
      </c>
      <c r="C69" s="6">
        <v>4.0</v>
      </c>
      <c r="D69" s="12">
        <v>1.0</v>
      </c>
      <c r="E69" s="6">
        <v>3.0</v>
      </c>
      <c r="F69" s="6">
        <v>2.0</v>
      </c>
      <c r="G69" s="6">
        <v>4.0</v>
      </c>
      <c r="H69" s="12">
        <v>4.0</v>
      </c>
      <c r="I69" s="6">
        <v>3.0</v>
      </c>
      <c r="J69" s="12">
        <v>2.0</v>
      </c>
      <c r="K69" s="12">
        <v>4.0</v>
      </c>
      <c r="L69" s="6">
        <v>5.0</v>
      </c>
      <c r="M69" s="6">
        <v>3.0</v>
      </c>
      <c r="N69" s="12">
        <v>5.0</v>
      </c>
      <c r="O69" s="6">
        <v>3.0</v>
      </c>
      <c r="P69" s="6">
        <v>4.0</v>
      </c>
      <c r="Q69" s="6">
        <v>3.0</v>
      </c>
      <c r="R69" s="6">
        <v>2.0</v>
      </c>
      <c r="S69" s="6">
        <v>2.0</v>
      </c>
      <c r="T69" s="12">
        <v>1.0</v>
      </c>
      <c r="U69" s="6">
        <v>5.0</v>
      </c>
      <c r="V69" s="6">
        <v>4.0</v>
      </c>
      <c r="W69" s="12">
        <v>4.0</v>
      </c>
      <c r="X69" s="6">
        <v>4.0</v>
      </c>
      <c r="Y69" s="12">
        <v>2.0</v>
      </c>
      <c r="Z69" s="12">
        <v>4.0</v>
      </c>
      <c r="AA69" s="6">
        <v>4.0</v>
      </c>
      <c r="AB69" s="6">
        <v>4.0</v>
      </c>
      <c r="AC69" s="12">
        <v>3.0</v>
      </c>
      <c r="AD69" s="6">
        <v>4.0</v>
      </c>
      <c r="AE69" s="6">
        <v>4.0</v>
      </c>
      <c r="AF69" s="6">
        <v>5.0</v>
      </c>
      <c r="AG69" s="12">
        <v>4.0</v>
      </c>
      <c r="AH69" s="6">
        <v>2.0</v>
      </c>
      <c r="AI69" s="6">
        <v>3.0</v>
      </c>
      <c r="AJ69" s="12">
        <v>5.0</v>
      </c>
      <c r="AK69" s="12">
        <v>3.0</v>
      </c>
      <c r="AL69" s="6">
        <v>3.0</v>
      </c>
      <c r="AM69" s="12">
        <v>4.0</v>
      </c>
      <c r="AN69" s="6">
        <v>5.0</v>
      </c>
      <c r="AO69" s="6">
        <v>4.0</v>
      </c>
      <c r="AP69" s="6">
        <v>4.0</v>
      </c>
      <c r="AQ69" s="12">
        <v>5.0</v>
      </c>
      <c r="AR69" s="6">
        <v>3.0</v>
      </c>
      <c r="AS69" s="12">
        <v>3.0</v>
      </c>
      <c r="AT69" s="6">
        <v>5.0</v>
      </c>
      <c r="AV69" s="6">
        <f t="shared" si="1"/>
        <v>1.088814939</v>
      </c>
      <c r="AX69" s="6">
        <f t="shared" si="2"/>
        <v>28</v>
      </c>
      <c r="AY69" s="6"/>
      <c r="BA69" s="6">
        <f t="shared" si="3"/>
        <v>27</v>
      </c>
      <c r="BB69" s="6"/>
      <c r="BD69" s="6">
        <f t="shared" si="4"/>
        <v>26</v>
      </c>
      <c r="BE69" s="6"/>
      <c r="BG69" s="6">
        <f t="shared" si="5"/>
        <v>32</v>
      </c>
      <c r="BH69" s="6"/>
      <c r="BJ69" s="6">
        <f t="shared" si="6"/>
        <v>42</v>
      </c>
      <c r="BK69" s="6"/>
      <c r="CK69" s="8" t="s">
        <v>31</v>
      </c>
      <c r="CM69" s="16">
        <f t="shared" si="7"/>
        <v>2</v>
      </c>
      <c r="CN69" s="16"/>
      <c r="CO69" s="16">
        <f t="shared" si="8"/>
        <v>2</v>
      </c>
      <c r="CP69" s="16"/>
      <c r="CQ69" s="13">
        <f t="shared" si="9"/>
        <v>4</v>
      </c>
      <c r="CR69" s="16"/>
      <c r="CS69" s="13">
        <f t="shared" si="10"/>
        <v>4</v>
      </c>
      <c r="CT69" s="16"/>
      <c r="CU69" s="13">
        <f t="shared" si="11"/>
        <v>6</v>
      </c>
      <c r="CV69" s="16"/>
      <c r="CW69" s="13">
        <f t="shared" si="12"/>
        <v>5</v>
      </c>
      <c r="CX69" s="16"/>
      <c r="CY69" s="17">
        <f t="shared" si="13"/>
        <v>1</v>
      </c>
      <c r="CZ69" s="16"/>
      <c r="DA69" s="16">
        <f t="shared" si="14"/>
        <v>1</v>
      </c>
      <c r="DB69" s="16"/>
      <c r="DC69" s="16">
        <f t="shared" si="15"/>
        <v>2</v>
      </c>
      <c r="DD69" s="16"/>
      <c r="DE69" s="13">
        <f t="shared" si="16"/>
        <v>7</v>
      </c>
      <c r="DF69" s="16"/>
      <c r="DG69" s="13">
        <f t="shared" si="17"/>
        <v>6</v>
      </c>
      <c r="DH69" s="16"/>
      <c r="DI69" s="16">
        <f t="shared" si="18"/>
        <v>0</v>
      </c>
      <c r="DJ69" s="16"/>
      <c r="DL69" s="4" t="s">
        <v>105</v>
      </c>
      <c r="DP69" s="8"/>
    </row>
    <row r="70">
      <c r="B70" s="8" t="s">
        <v>32</v>
      </c>
      <c r="C70" s="6">
        <v>2.0</v>
      </c>
      <c r="D70" s="12">
        <v>1.0</v>
      </c>
      <c r="E70" s="6">
        <v>4.0</v>
      </c>
      <c r="F70" s="6">
        <v>4.0</v>
      </c>
      <c r="G70" s="6">
        <v>4.0</v>
      </c>
      <c r="H70" s="12">
        <v>2.0</v>
      </c>
      <c r="I70" s="6">
        <v>4.0</v>
      </c>
      <c r="J70" s="12">
        <v>1.0</v>
      </c>
      <c r="K70" s="12">
        <v>2.0</v>
      </c>
      <c r="L70" s="6">
        <v>5.0</v>
      </c>
      <c r="M70" s="6">
        <v>2.0</v>
      </c>
      <c r="N70" s="12">
        <v>5.0</v>
      </c>
      <c r="O70" s="6">
        <v>2.0</v>
      </c>
      <c r="P70" s="6">
        <v>3.0</v>
      </c>
      <c r="Q70" s="6">
        <v>5.0</v>
      </c>
      <c r="R70" s="6">
        <v>2.0</v>
      </c>
      <c r="S70" s="6">
        <v>4.0</v>
      </c>
      <c r="T70" s="12">
        <v>2.0</v>
      </c>
      <c r="U70" s="6">
        <v>3.0</v>
      </c>
      <c r="V70" s="6">
        <v>4.0</v>
      </c>
      <c r="W70" s="12">
        <v>1.0</v>
      </c>
      <c r="X70" s="6">
        <v>4.0</v>
      </c>
      <c r="Y70" s="12">
        <v>1.0</v>
      </c>
      <c r="Z70" s="12">
        <v>2.0</v>
      </c>
      <c r="AA70" s="6">
        <v>5.0</v>
      </c>
      <c r="AB70" s="6">
        <v>4.0</v>
      </c>
      <c r="AC70" s="12">
        <v>1.0</v>
      </c>
      <c r="AD70" s="6">
        <v>5.0</v>
      </c>
      <c r="AE70" s="6">
        <v>5.0</v>
      </c>
      <c r="AF70" s="6">
        <v>5.0</v>
      </c>
      <c r="AG70" s="12">
        <v>2.0</v>
      </c>
      <c r="AH70" s="6">
        <v>3.0</v>
      </c>
      <c r="AI70" s="6">
        <v>4.0</v>
      </c>
      <c r="AJ70" s="12">
        <v>2.0</v>
      </c>
      <c r="AK70" s="12">
        <v>5.0</v>
      </c>
      <c r="AL70" s="6">
        <v>3.0</v>
      </c>
      <c r="AM70" s="12">
        <v>2.0</v>
      </c>
      <c r="AN70" s="6">
        <v>4.0</v>
      </c>
      <c r="AO70" s="6">
        <v>2.0</v>
      </c>
      <c r="AP70" s="6">
        <v>5.0</v>
      </c>
      <c r="AQ70" s="12">
        <v>5.0</v>
      </c>
      <c r="AR70" s="6">
        <v>5.0</v>
      </c>
      <c r="AS70" s="12">
        <v>1.0</v>
      </c>
      <c r="AT70" s="6">
        <v>3.0</v>
      </c>
      <c r="AV70" s="6">
        <f t="shared" si="1"/>
        <v>1.434990111</v>
      </c>
      <c r="AX70" s="6">
        <f t="shared" si="2"/>
        <v>18</v>
      </c>
      <c r="AY70" s="6"/>
      <c r="BA70" s="6">
        <f t="shared" si="3"/>
        <v>29</v>
      </c>
      <c r="BB70" s="6"/>
      <c r="BD70" s="6">
        <f t="shared" si="4"/>
        <v>24</v>
      </c>
      <c r="BE70" s="6"/>
      <c r="BG70" s="6">
        <f t="shared" si="5"/>
        <v>23</v>
      </c>
      <c r="BH70" s="6"/>
      <c r="BJ70" s="6">
        <f t="shared" si="6"/>
        <v>46</v>
      </c>
      <c r="BK70" s="6"/>
      <c r="CK70" s="8" t="s">
        <v>32</v>
      </c>
      <c r="CM70" s="16">
        <f t="shared" si="7"/>
        <v>2</v>
      </c>
      <c r="CN70" s="16"/>
      <c r="CO70" s="16">
        <f t="shared" si="8"/>
        <v>1</v>
      </c>
      <c r="CP70" s="16"/>
      <c r="CQ70" s="4">
        <f t="shared" si="9"/>
        <v>7</v>
      </c>
      <c r="CR70" s="16"/>
      <c r="CS70" s="6">
        <f t="shared" si="10"/>
        <v>0</v>
      </c>
      <c r="CT70" s="16"/>
      <c r="CU70" s="6">
        <f t="shared" si="11"/>
        <v>3</v>
      </c>
      <c r="CV70" s="16"/>
      <c r="CW70" s="6">
        <f t="shared" si="12"/>
        <v>2</v>
      </c>
      <c r="CX70" s="16"/>
      <c r="CY70" s="13">
        <f t="shared" si="13"/>
        <v>6</v>
      </c>
      <c r="CZ70" s="16"/>
      <c r="DA70" s="16">
        <f t="shared" si="14"/>
        <v>1</v>
      </c>
      <c r="DB70" s="16"/>
      <c r="DC70" s="16">
        <f t="shared" si="15"/>
        <v>1</v>
      </c>
      <c r="DD70" s="16"/>
      <c r="DE70" s="13">
        <f t="shared" si="16"/>
        <v>8</v>
      </c>
      <c r="DF70" s="16"/>
      <c r="DG70" s="13">
        <f t="shared" si="17"/>
        <v>5</v>
      </c>
      <c r="DH70" s="16"/>
      <c r="DI70" s="17">
        <f t="shared" si="18"/>
        <v>2</v>
      </c>
      <c r="DJ70" s="16"/>
      <c r="DL70" s="4" t="s">
        <v>106</v>
      </c>
      <c r="DP70" s="14" t="s">
        <v>32</v>
      </c>
    </row>
    <row r="71">
      <c r="B71" s="8" t="s">
        <v>33</v>
      </c>
      <c r="C71" s="6">
        <v>5.0</v>
      </c>
      <c r="D71" s="12">
        <v>3.0</v>
      </c>
      <c r="E71" s="6">
        <v>3.0</v>
      </c>
      <c r="F71" s="6">
        <v>3.0</v>
      </c>
      <c r="G71" s="6">
        <v>5.0</v>
      </c>
      <c r="H71" s="12">
        <v>4.0</v>
      </c>
      <c r="I71" s="6">
        <v>4.0</v>
      </c>
      <c r="J71" s="12">
        <v>2.0</v>
      </c>
      <c r="K71" s="12">
        <v>2.0</v>
      </c>
      <c r="L71" s="6">
        <v>5.0</v>
      </c>
      <c r="M71" s="6">
        <v>3.0</v>
      </c>
      <c r="N71" s="12">
        <v>3.0</v>
      </c>
      <c r="O71" s="6">
        <v>4.0</v>
      </c>
      <c r="P71" s="6">
        <v>2.0</v>
      </c>
      <c r="Q71" s="6">
        <v>5.0</v>
      </c>
      <c r="R71" s="6">
        <v>4.0</v>
      </c>
      <c r="S71" s="6">
        <v>5.0</v>
      </c>
      <c r="T71" s="12">
        <v>2.0</v>
      </c>
      <c r="U71" s="6">
        <v>2.0</v>
      </c>
      <c r="V71" s="6">
        <v>5.0</v>
      </c>
      <c r="W71" s="12">
        <v>5.0</v>
      </c>
      <c r="X71" s="6">
        <v>4.0</v>
      </c>
      <c r="Y71" s="12">
        <v>3.0</v>
      </c>
      <c r="Z71" s="12">
        <v>2.0</v>
      </c>
      <c r="AA71" s="6">
        <v>5.0</v>
      </c>
      <c r="AB71" s="6">
        <v>4.0</v>
      </c>
      <c r="AC71" s="12">
        <v>5.0</v>
      </c>
      <c r="AD71" s="6">
        <v>2.0</v>
      </c>
      <c r="AE71" s="6">
        <v>4.0</v>
      </c>
      <c r="AF71" s="6">
        <v>5.0</v>
      </c>
      <c r="AG71" s="12">
        <v>2.0</v>
      </c>
      <c r="AH71" s="6">
        <v>4.0</v>
      </c>
      <c r="AI71" s="6">
        <v>4.0</v>
      </c>
      <c r="AJ71" s="12">
        <v>3.0</v>
      </c>
      <c r="AK71" s="12">
        <v>4.0</v>
      </c>
      <c r="AL71" s="6">
        <v>5.0</v>
      </c>
      <c r="AM71" s="12">
        <v>2.0</v>
      </c>
      <c r="AN71" s="6">
        <v>1.0</v>
      </c>
      <c r="AO71" s="6">
        <v>2.0</v>
      </c>
      <c r="AP71" s="6">
        <v>5.0</v>
      </c>
      <c r="AQ71" s="12">
        <v>5.0</v>
      </c>
      <c r="AR71" s="6">
        <v>5.0</v>
      </c>
      <c r="AS71" s="12">
        <v>2.0</v>
      </c>
      <c r="AT71" s="6">
        <v>4.0</v>
      </c>
      <c r="AV71" s="6">
        <f t="shared" si="1"/>
        <v>1.244862593</v>
      </c>
      <c r="AX71" s="6">
        <f t="shared" si="2"/>
        <v>32</v>
      </c>
      <c r="AY71" s="6"/>
      <c r="BA71" s="6">
        <f t="shared" si="3"/>
        <v>35</v>
      </c>
      <c r="BB71" s="6"/>
      <c r="BD71" s="6">
        <f t="shared" si="4"/>
        <v>23</v>
      </c>
      <c r="BE71" s="6"/>
      <c r="BG71" s="6">
        <f t="shared" si="5"/>
        <v>20</v>
      </c>
      <c r="BH71" s="6"/>
      <c r="BJ71" s="6">
        <f t="shared" si="6"/>
        <v>48</v>
      </c>
      <c r="BK71" s="6"/>
      <c r="CK71" s="8" t="s">
        <v>33</v>
      </c>
      <c r="CM71" s="16">
        <f t="shared" si="7"/>
        <v>0</v>
      </c>
      <c r="CN71" s="16"/>
      <c r="CO71" s="16">
        <f t="shared" si="8"/>
        <v>4</v>
      </c>
      <c r="CP71" s="16"/>
      <c r="CQ71" s="13">
        <f t="shared" si="9"/>
        <v>5</v>
      </c>
      <c r="CR71" s="16"/>
      <c r="CS71" s="16">
        <f t="shared" si="10"/>
        <v>2</v>
      </c>
      <c r="CT71" s="16"/>
      <c r="CU71" s="16">
        <f t="shared" si="11"/>
        <v>3</v>
      </c>
      <c r="CV71" s="16"/>
      <c r="CW71" s="16">
        <f t="shared" si="12"/>
        <v>3</v>
      </c>
      <c r="CX71" s="16"/>
      <c r="CY71" s="6">
        <f t="shared" si="13"/>
        <v>1</v>
      </c>
      <c r="CZ71" s="16"/>
      <c r="DA71" s="16">
        <f t="shared" si="14"/>
        <v>0</v>
      </c>
      <c r="DB71" s="16"/>
      <c r="DC71" s="16">
        <f t="shared" si="15"/>
        <v>4</v>
      </c>
      <c r="DD71" s="16"/>
      <c r="DE71" s="6">
        <f t="shared" si="16"/>
        <v>4</v>
      </c>
      <c r="DF71" s="16"/>
      <c r="DG71" s="6">
        <f t="shared" si="17"/>
        <v>3</v>
      </c>
      <c r="DH71" s="16"/>
      <c r="DI71" s="13">
        <f t="shared" si="18"/>
        <v>5</v>
      </c>
      <c r="DJ71" s="16"/>
      <c r="DL71" s="4" t="s">
        <v>107</v>
      </c>
      <c r="DP71" s="8"/>
    </row>
    <row r="72">
      <c r="B72" s="8" t="s">
        <v>34</v>
      </c>
      <c r="C72" s="6">
        <v>4.0</v>
      </c>
      <c r="D72" s="12">
        <v>3.0</v>
      </c>
      <c r="E72" s="6">
        <v>4.0</v>
      </c>
      <c r="F72" s="6">
        <v>2.0</v>
      </c>
      <c r="G72" s="6">
        <v>4.0</v>
      </c>
      <c r="H72" s="12">
        <v>3.0</v>
      </c>
      <c r="I72" s="6">
        <v>4.0</v>
      </c>
      <c r="J72" s="12">
        <v>2.0</v>
      </c>
      <c r="K72" s="12">
        <v>2.0</v>
      </c>
      <c r="L72" s="6">
        <v>4.0</v>
      </c>
      <c r="M72" s="6">
        <v>3.0</v>
      </c>
      <c r="N72" s="12">
        <v>3.0</v>
      </c>
      <c r="O72" s="6">
        <v>4.0</v>
      </c>
      <c r="P72" s="6">
        <v>3.0</v>
      </c>
      <c r="Q72" s="6">
        <v>5.0</v>
      </c>
      <c r="R72" s="6">
        <v>4.0</v>
      </c>
      <c r="S72" s="6">
        <v>4.0</v>
      </c>
      <c r="T72" s="12">
        <v>2.0</v>
      </c>
      <c r="U72" s="6">
        <v>2.0</v>
      </c>
      <c r="V72" s="6">
        <v>3.0</v>
      </c>
      <c r="W72" s="12">
        <v>4.0</v>
      </c>
      <c r="X72" s="6">
        <v>4.0</v>
      </c>
      <c r="Y72" s="12">
        <v>2.0</v>
      </c>
      <c r="Z72" s="12">
        <v>2.0</v>
      </c>
      <c r="AA72" s="6">
        <v>4.0</v>
      </c>
      <c r="AB72" s="6">
        <v>4.0</v>
      </c>
      <c r="AC72" s="12">
        <v>2.0</v>
      </c>
      <c r="AD72" s="6">
        <v>3.0</v>
      </c>
      <c r="AE72" s="6">
        <v>2.0</v>
      </c>
      <c r="AF72" s="6">
        <v>4.0</v>
      </c>
      <c r="AG72" s="12">
        <v>3.0</v>
      </c>
      <c r="AH72" s="6">
        <v>4.0</v>
      </c>
      <c r="AI72" s="6">
        <v>5.0</v>
      </c>
      <c r="AJ72" s="12">
        <v>3.0</v>
      </c>
      <c r="AK72" s="12">
        <v>5.0</v>
      </c>
      <c r="AL72" s="6">
        <v>4.0</v>
      </c>
      <c r="AM72" s="12">
        <v>2.0</v>
      </c>
      <c r="AN72" s="6">
        <v>3.0</v>
      </c>
      <c r="AO72" s="6">
        <v>2.0</v>
      </c>
      <c r="AP72" s="6">
        <v>4.0</v>
      </c>
      <c r="AQ72" s="12">
        <v>4.0</v>
      </c>
      <c r="AR72" s="6">
        <v>4.0</v>
      </c>
      <c r="AS72" s="12">
        <v>1.0</v>
      </c>
      <c r="AT72" s="6">
        <v>3.0</v>
      </c>
      <c r="AV72" s="6">
        <f t="shared" si="1"/>
        <v>0.9912407072</v>
      </c>
      <c r="AX72" s="6">
        <f t="shared" si="2"/>
        <v>29</v>
      </c>
      <c r="AY72" s="6"/>
      <c r="BA72" s="6">
        <f t="shared" si="3"/>
        <v>30</v>
      </c>
      <c r="BB72" s="6"/>
      <c r="BD72" s="6">
        <f t="shared" si="4"/>
        <v>26</v>
      </c>
      <c r="BE72" s="6"/>
      <c r="BG72" s="6">
        <f t="shared" si="5"/>
        <v>18</v>
      </c>
      <c r="BH72" s="6"/>
      <c r="BJ72" s="6">
        <f t="shared" si="6"/>
        <v>40</v>
      </c>
      <c r="BK72" s="6"/>
      <c r="CK72" s="8" t="s">
        <v>34</v>
      </c>
      <c r="CM72" s="16">
        <f t="shared" si="7"/>
        <v>1</v>
      </c>
      <c r="CN72" s="16"/>
      <c r="CO72" s="16">
        <f t="shared" si="8"/>
        <v>1</v>
      </c>
      <c r="CP72" s="16"/>
      <c r="CQ72" s="6">
        <f t="shared" si="9"/>
        <v>1</v>
      </c>
      <c r="CR72" s="16"/>
      <c r="CS72" s="16">
        <f t="shared" si="10"/>
        <v>1</v>
      </c>
      <c r="CT72" s="16"/>
      <c r="CU72" s="17">
        <f t="shared" si="11"/>
        <v>2</v>
      </c>
      <c r="CV72" s="16"/>
      <c r="CW72" s="16">
        <f t="shared" si="12"/>
        <v>2</v>
      </c>
      <c r="CX72" s="16"/>
      <c r="CY72" s="16">
        <f t="shared" si="13"/>
        <v>1</v>
      </c>
      <c r="CZ72" s="16"/>
      <c r="DA72" s="16">
        <f t="shared" si="14"/>
        <v>0</v>
      </c>
      <c r="DB72" s="16"/>
      <c r="DC72" s="16">
        <f t="shared" si="15"/>
        <v>3</v>
      </c>
      <c r="DD72" s="16"/>
      <c r="DE72" s="16">
        <f t="shared" si="16"/>
        <v>1</v>
      </c>
      <c r="DF72" s="16"/>
      <c r="DG72" s="17">
        <f t="shared" si="17"/>
        <v>0</v>
      </c>
      <c r="DH72" s="16"/>
      <c r="DI72" s="13">
        <f t="shared" si="18"/>
        <v>3</v>
      </c>
      <c r="DJ72" s="16"/>
      <c r="DL72" s="4" t="s">
        <v>91</v>
      </c>
      <c r="DP72" s="8"/>
    </row>
    <row r="73">
      <c r="B73" s="8" t="s">
        <v>35</v>
      </c>
      <c r="C73" s="6">
        <v>4.0</v>
      </c>
      <c r="D73" s="12">
        <v>2.0</v>
      </c>
      <c r="E73" s="6">
        <v>4.0</v>
      </c>
      <c r="F73" s="6">
        <v>1.0</v>
      </c>
      <c r="G73" s="6">
        <v>4.0</v>
      </c>
      <c r="H73" s="12">
        <v>2.0</v>
      </c>
      <c r="I73" s="6">
        <v>5.0</v>
      </c>
      <c r="J73" s="12">
        <v>2.0</v>
      </c>
      <c r="K73" s="12">
        <v>1.0</v>
      </c>
      <c r="L73" s="6">
        <v>4.0</v>
      </c>
      <c r="M73" s="6">
        <v>4.0</v>
      </c>
      <c r="N73" s="12">
        <v>5.0</v>
      </c>
      <c r="O73" s="6">
        <v>4.0</v>
      </c>
      <c r="P73" s="6">
        <v>4.0</v>
      </c>
      <c r="Q73" s="6">
        <v>4.0</v>
      </c>
      <c r="R73" s="6">
        <v>4.0</v>
      </c>
      <c r="S73" s="6">
        <v>5.0</v>
      </c>
      <c r="T73" s="12">
        <v>2.0</v>
      </c>
      <c r="U73" s="6">
        <v>2.0</v>
      </c>
      <c r="V73" s="6">
        <v>4.0</v>
      </c>
      <c r="W73" s="12">
        <v>1.0</v>
      </c>
      <c r="X73" s="6">
        <v>5.0</v>
      </c>
      <c r="Y73" s="12">
        <v>1.0</v>
      </c>
      <c r="Z73" s="12">
        <v>1.0</v>
      </c>
      <c r="AA73" s="6">
        <v>4.0</v>
      </c>
      <c r="AB73" s="6">
        <v>2.0</v>
      </c>
      <c r="AC73" s="12">
        <v>1.0</v>
      </c>
      <c r="AD73" s="6">
        <v>2.0</v>
      </c>
      <c r="AE73" s="6">
        <v>1.0</v>
      </c>
      <c r="AF73" s="6">
        <v>3.0</v>
      </c>
      <c r="AG73" s="12">
        <v>1.0</v>
      </c>
      <c r="AH73" s="6">
        <v>5.0</v>
      </c>
      <c r="AI73" s="6">
        <v>2.0</v>
      </c>
      <c r="AJ73" s="12">
        <v>1.0</v>
      </c>
      <c r="AK73" s="12">
        <v>5.0</v>
      </c>
      <c r="AL73" s="6">
        <v>5.0</v>
      </c>
      <c r="AM73" s="12">
        <v>1.0</v>
      </c>
      <c r="AN73" s="6">
        <v>4.0</v>
      </c>
      <c r="AO73" s="6">
        <v>1.0</v>
      </c>
      <c r="AP73" s="6">
        <v>5.0</v>
      </c>
      <c r="AQ73" s="12">
        <v>2.0</v>
      </c>
      <c r="AR73" s="6">
        <v>5.0</v>
      </c>
      <c r="AS73" s="12">
        <v>1.0</v>
      </c>
      <c r="AT73" s="6">
        <v>1.0</v>
      </c>
      <c r="AV73" s="6">
        <f t="shared" si="1"/>
        <v>1.58797676</v>
      </c>
      <c r="AX73" s="6">
        <f t="shared" si="2"/>
        <v>23</v>
      </c>
      <c r="AY73" s="6"/>
      <c r="BA73" s="6">
        <f t="shared" si="3"/>
        <v>34</v>
      </c>
      <c r="BB73" s="6"/>
      <c r="BD73" s="6">
        <f t="shared" si="4"/>
        <v>22</v>
      </c>
      <c r="BE73" s="6"/>
      <c r="BG73" s="6">
        <f t="shared" si="5"/>
        <v>12</v>
      </c>
      <c r="BH73" s="6"/>
      <c r="BJ73" s="6">
        <f t="shared" si="6"/>
        <v>36</v>
      </c>
      <c r="BK73" s="6"/>
      <c r="CK73" s="9" t="s">
        <v>35</v>
      </c>
      <c r="CM73" s="16">
        <f t="shared" si="7"/>
        <v>3</v>
      </c>
      <c r="CN73" s="16"/>
      <c r="CO73" s="16">
        <f t="shared" si="8"/>
        <v>1</v>
      </c>
      <c r="CP73" s="16"/>
      <c r="CQ73" s="17">
        <f t="shared" si="9"/>
        <v>1</v>
      </c>
      <c r="CR73" s="16"/>
      <c r="CS73" s="16">
        <f t="shared" si="10"/>
        <v>3</v>
      </c>
      <c r="CT73" s="16"/>
      <c r="CU73" s="13">
        <f t="shared" si="11"/>
        <v>5</v>
      </c>
      <c r="CV73" s="16"/>
      <c r="CW73" s="16">
        <f t="shared" si="12"/>
        <v>3</v>
      </c>
      <c r="CX73" s="16"/>
      <c r="CY73" s="16">
        <f t="shared" si="13"/>
        <v>3</v>
      </c>
      <c r="CZ73" s="16"/>
      <c r="DA73" s="16">
        <f t="shared" si="14"/>
        <v>0</v>
      </c>
      <c r="DB73" s="16"/>
      <c r="DC73" s="16">
        <f t="shared" si="15"/>
        <v>3</v>
      </c>
      <c r="DD73" s="16"/>
      <c r="DE73" s="16">
        <f t="shared" si="16"/>
        <v>1</v>
      </c>
      <c r="DF73" s="16"/>
      <c r="DG73" s="13">
        <f t="shared" si="17"/>
        <v>5</v>
      </c>
      <c r="DH73" s="16"/>
      <c r="DI73" s="4">
        <f t="shared" si="18"/>
        <v>2</v>
      </c>
      <c r="DJ73" s="16"/>
      <c r="DL73" s="4" t="s">
        <v>108</v>
      </c>
      <c r="DP73" s="8"/>
    </row>
    <row r="74">
      <c r="B74" s="8" t="s">
        <v>36</v>
      </c>
      <c r="C74" s="6">
        <v>4.0</v>
      </c>
      <c r="D74" s="12">
        <v>2.0</v>
      </c>
      <c r="E74" s="6">
        <v>2.0</v>
      </c>
      <c r="F74" s="6">
        <v>2.0</v>
      </c>
      <c r="G74" s="6">
        <v>4.0</v>
      </c>
      <c r="H74" s="12">
        <v>4.0</v>
      </c>
      <c r="I74" s="6">
        <v>4.0</v>
      </c>
      <c r="J74" s="12">
        <v>1.0</v>
      </c>
      <c r="K74" s="12">
        <v>1.0</v>
      </c>
      <c r="L74" s="6">
        <v>5.0</v>
      </c>
      <c r="M74" s="6">
        <v>4.0</v>
      </c>
      <c r="N74" s="12">
        <v>4.0</v>
      </c>
      <c r="O74" s="6">
        <v>4.0</v>
      </c>
      <c r="P74" s="6">
        <v>2.0</v>
      </c>
      <c r="Q74" s="6">
        <v>4.0</v>
      </c>
      <c r="R74" s="6">
        <v>4.0</v>
      </c>
      <c r="S74" s="6">
        <v>5.0</v>
      </c>
      <c r="T74" s="12">
        <v>2.0</v>
      </c>
      <c r="U74" s="6">
        <v>1.0</v>
      </c>
      <c r="V74" s="6">
        <v>5.0</v>
      </c>
      <c r="W74" s="12">
        <v>4.0</v>
      </c>
      <c r="X74" s="6">
        <v>5.0</v>
      </c>
      <c r="Y74" s="12">
        <v>1.0</v>
      </c>
      <c r="Z74" s="12">
        <v>1.0</v>
      </c>
      <c r="AA74" s="6">
        <v>4.0</v>
      </c>
      <c r="AB74" s="6">
        <v>4.0</v>
      </c>
      <c r="AC74" s="12">
        <v>4.0</v>
      </c>
      <c r="AD74" s="6">
        <v>1.0</v>
      </c>
      <c r="AE74" s="6">
        <v>2.0</v>
      </c>
      <c r="AF74" s="6">
        <v>4.0</v>
      </c>
      <c r="AG74" s="12">
        <v>3.0</v>
      </c>
      <c r="AH74" s="6">
        <v>4.0</v>
      </c>
      <c r="AI74" s="6">
        <v>4.0</v>
      </c>
      <c r="AJ74" s="12">
        <v>2.0</v>
      </c>
      <c r="AK74" s="12">
        <v>5.0</v>
      </c>
      <c r="AL74" s="6">
        <v>5.0</v>
      </c>
      <c r="AM74" s="12">
        <v>3.0</v>
      </c>
      <c r="AN74" s="6">
        <v>1.0</v>
      </c>
      <c r="AO74" s="6">
        <v>2.0</v>
      </c>
      <c r="AP74" s="6">
        <v>5.0</v>
      </c>
      <c r="AQ74" s="12">
        <v>5.0</v>
      </c>
      <c r="AR74" s="6">
        <v>5.0</v>
      </c>
      <c r="AS74" s="12">
        <v>1.0</v>
      </c>
      <c r="AT74" s="6">
        <v>3.0</v>
      </c>
      <c r="AV74" s="6">
        <f t="shared" si="1"/>
        <v>1.444534791</v>
      </c>
      <c r="AX74" s="6">
        <f t="shared" si="2"/>
        <v>32</v>
      </c>
      <c r="AY74" s="6"/>
      <c r="BA74" s="6">
        <f t="shared" si="3"/>
        <v>36</v>
      </c>
      <c r="BB74" s="6"/>
      <c r="BD74" s="6">
        <f t="shared" si="4"/>
        <v>17</v>
      </c>
      <c r="BE74" s="6"/>
      <c r="BG74" s="6">
        <f t="shared" si="5"/>
        <v>13</v>
      </c>
      <c r="BH74" s="6"/>
      <c r="BJ74" s="6">
        <f t="shared" si="6"/>
        <v>44</v>
      </c>
      <c r="BK74" s="6"/>
      <c r="CK74" s="8" t="s">
        <v>36</v>
      </c>
      <c r="CM74" s="16">
        <f t="shared" si="7"/>
        <v>1</v>
      </c>
      <c r="CN74" s="16"/>
      <c r="CO74" s="16">
        <f t="shared" si="8"/>
        <v>4</v>
      </c>
      <c r="CP74" s="16"/>
      <c r="CQ74" s="13">
        <f t="shared" si="9"/>
        <v>4</v>
      </c>
      <c r="CR74" s="16"/>
      <c r="CS74" s="16">
        <f t="shared" si="10"/>
        <v>3</v>
      </c>
      <c r="CT74" s="16"/>
      <c r="CU74" s="6">
        <f t="shared" si="11"/>
        <v>3</v>
      </c>
      <c r="CV74" s="16"/>
      <c r="CW74" s="16">
        <f t="shared" si="12"/>
        <v>1</v>
      </c>
      <c r="CX74" s="16"/>
      <c r="CY74" s="16">
        <f t="shared" si="13"/>
        <v>2</v>
      </c>
      <c r="CZ74" s="16"/>
      <c r="DA74" s="16">
        <f t="shared" si="14"/>
        <v>0</v>
      </c>
      <c r="DB74" s="16"/>
      <c r="DC74" s="16">
        <f t="shared" si="15"/>
        <v>4</v>
      </c>
      <c r="DD74" s="16"/>
      <c r="DE74" s="16">
        <f t="shared" si="16"/>
        <v>3</v>
      </c>
      <c r="DF74" s="16"/>
      <c r="DG74" s="6">
        <f t="shared" si="17"/>
        <v>3</v>
      </c>
      <c r="DH74" s="16"/>
      <c r="DI74" s="13">
        <f t="shared" si="18"/>
        <v>4</v>
      </c>
      <c r="DJ74" s="16"/>
      <c r="DL74" s="4" t="s">
        <v>109</v>
      </c>
      <c r="DP74" s="8"/>
    </row>
    <row r="75">
      <c r="B75" s="4"/>
    </row>
    <row r="76">
      <c r="A76" s="20" t="s">
        <v>110</v>
      </c>
      <c r="B76" s="2" t="s">
        <v>111</v>
      </c>
      <c r="C76" s="3" t="s">
        <v>112</v>
      </c>
      <c r="D76" s="3" t="s">
        <v>38</v>
      </c>
      <c r="E76" s="3">
        <v>3.0</v>
      </c>
      <c r="F76" s="3">
        <v>4.0</v>
      </c>
      <c r="G76" s="3" t="s">
        <v>113</v>
      </c>
      <c r="H76" s="3">
        <v>6.0</v>
      </c>
      <c r="I76" s="3">
        <v>7.0</v>
      </c>
      <c r="J76" s="3" t="s">
        <v>40</v>
      </c>
      <c r="K76" s="3">
        <v>9.0</v>
      </c>
      <c r="L76" s="3" t="s">
        <v>114</v>
      </c>
      <c r="M76" s="3" t="s">
        <v>115</v>
      </c>
      <c r="N76" s="3">
        <v>12.0</v>
      </c>
      <c r="O76" s="3">
        <v>13.0</v>
      </c>
      <c r="P76" s="3">
        <v>14.0</v>
      </c>
      <c r="Q76" s="3" t="s">
        <v>116</v>
      </c>
      <c r="R76" s="3" t="s">
        <v>117</v>
      </c>
      <c r="S76" s="3">
        <v>17.0</v>
      </c>
      <c r="T76" s="3">
        <v>18.0</v>
      </c>
      <c r="U76" s="3" t="s">
        <v>118</v>
      </c>
      <c r="V76" s="3" t="s">
        <v>119</v>
      </c>
      <c r="W76" s="3" t="s">
        <v>44</v>
      </c>
      <c r="X76" s="3">
        <v>22.0</v>
      </c>
      <c r="Y76" s="3">
        <v>23.0</v>
      </c>
      <c r="Z76" s="3">
        <v>24.0</v>
      </c>
      <c r="AA76" s="3">
        <v>25.0</v>
      </c>
      <c r="AB76" s="3" t="s">
        <v>120</v>
      </c>
      <c r="AC76" s="3" t="s">
        <v>47</v>
      </c>
      <c r="AD76" s="3">
        <v>28.0</v>
      </c>
      <c r="AE76" s="3">
        <v>29.0</v>
      </c>
      <c r="AF76" s="3" t="s">
        <v>121</v>
      </c>
      <c r="AG76" s="3">
        <v>31.0</v>
      </c>
      <c r="AH76" s="3">
        <v>32.0</v>
      </c>
      <c r="AI76" s="3" t="s">
        <v>122</v>
      </c>
      <c r="AJ76" s="3">
        <v>34.0</v>
      </c>
      <c r="AK76" s="3">
        <v>35.0</v>
      </c>
      <c r="AL76" s="3" t="s">
        <v>123</v>
      </c>
      <c r="AM76" s="3">
        <v>37.0</v>
      </c>
      <c r="AN76" s="3">
        <v>38.0</v>
      </c>
      <c r="AO76" s="3" t="s">
        <v>124</v>
      </c>
      <c r="AP76" s="3">
        <v>40.0</v>
      </c>
      <c r="AR76" s="10" t="s">
        <v>54</v>
      </c>
      <c r="AT76" s="10" t="s">
        <v>125</v>
      </c>
      <c r="AU76" s="21"/>
      <c r="AV76" s="10" t="s">
        <v>56</v>
      </c>
      <c r="AW76" s="15"/>
      <c r="AX76" s="10" t="s">
        <v>126</v>
      </c>
      <c r="AY76" s="21"/>
      <c r="AZ76" s="10" t="s">
        <v>56</v>
      </c>
    </row>
    <row r="77">
      <c r="B77" s="5" t="s">
        <v>2</v>
      </c>
      <c r="C77" s="3">
        <v>0.0</v>
      </c>
      <c r="D77" s="3">
        <v>0.0</v>
      </c>
      <c r="E77" s="6">
        <v>0.0</v>
      </c>
      <c r="F77" s="6">
        <v>0.0</v>
      </c>
      <c r="G77" s="3">
        <v>0.0</v>
      </c>
      <c r="H77" s="6">
        <v>0.0</v>
      </c>
      <c r="I77" s="6">
        <v>0.0</v>
      </c>
      <c r="J77" s="3">
        <v>1.0</v>
      </c>
      <c r="K77" s="6">
        <v>0.0</v>
      </c>
      <c r="L77" s="3">
        <v>0.0</v>
      </c>
      <c r="M77" s="3">
        <v>0.0</v>
      </c>
      <c r="N77" s="6">
        <v>1.0</v>
      </c>
      <c r="O77" s="6">
        <v>0.0</v>
      </c>
      <c r="P77" s="6">
        <v>0.0</v>
      </c>
      <c r="Q77" s="3">
        <v>0.0</v>
      </c>
      <c r="R77" s="3">
        <v>0.0</v>
      </c>
      <c r="S77" s="6">
        <v>0.0</v>
      </c>
      <c r="T77" s="6">
        <v>0.0</v>
      </c>
      <c r="U77" s="3">
        <v>1.0</v>
      </c>
      <c r="V77" s="22">
        <v>1.0</v>
      </c>
      <c r="W77" s="3">
        <v>1.0</v>
      </c>
      <c r="X77" s="6">
        <v>1.0</v>
      </c>
      <c r="Y77" s="6">
        <v>2.0</v>
      </c>
      <c r="Z77" s="6">
        <v>1.0</v>
      </c>
      <c r="AA77" s="6">
        <v>1.0</v>
      </c>
      <c r="AB77" s="3">
        <v>2.0</v>
      </c>
      <c r="AC77" s="3">
        <v>0.0</v>
      </c>
      <c r="AD77" s="6">
        <v>1.0</v>
      </c>
      <c r="AE77" s="6">
        <v>0.0</v>
      </c>
      <c r="AF77" s="3">
        <v>1.0</v>
      </c>
      <c r="AG77" s="6">
        <v>0.0</v>
      </c>
      <c r="AH77" s="6">
        <v>1.0</v>
      </c>
      <c r="AI77" s="3">
        <v>1.0</v>
      </c>
      <c r="AJ77" s="6">
        <v>2.0</v>
      </c>
      <c r="AK77" s="6">
        <v>1.0</v>
      </c>
      <c r="AL77" s="3">
        <v>1.0</v>
      </c>
      <c r="AM77" s="6">
        <v>1.0</v>
      </c>
      <c r="AN77" s="6">
        <v>0.0</v>
      </c>
      <c r="AO77" s="3">
        <v>1.0</v>
      </c>
      <c r="AP77" s="6">
        <v>1.0</v>
      </c>
      <c r="AR77" s="6">
        <f t="shared" ref="AR77:AR111" si="19">STDEV(C77:V77)</f>
        <v>0.4103913408</v>
      </c>
      <c r="AT77" s="6">
        <f t="shared" ref="AT77:AT111" si="20">sum(C77:V77)</f>
        <v>4</v>
      </c>
      <c r="AU77" s="6"/>
      <c r="AV77" s="6"/>
      <c r="AX77" s="6">
        <f t="shared" ref="AX77:AX111" si="21">sum(W77:AP77)</f>
        <v>19</v>
      </c>
      <c r="AY77" s="6"/>
      <c r="AZ77" s="6"/>
    </row>
    <row r="78">
      <c r="B78" s="5" t="s">
        <v>3</v>
      </c>
      <c r="C78" s="12">
        <v>1.0</v>
      </c>
      <c r="D78" s="12">
        <v>0.0</v>
      </c>
      <c r="E78" s="6">
        <v>1.0</v>
      </c>
      <c r="F78" s="6">
        <v>0.0</v>
      </c>
      <c r="G78" s="12">
        <v>1.0</v>
      </c>
      <c r="H78" s="6">
        <v>0.0</v>
      </c>
      <c r="I78" s="6">
        <v>1.0</v>
      </c>
      <c r="J78" s="12">
        <v>1.0</v>
      </c>
      <c r="K78" s="6">
        <v>0.0</v>
      </c>
      <c r="L78" s="12">
        <v>1.0</v>
      </c>
      <c r="M78" s="12">
        <v>0.0</v>
      </c>
      <c r="N78" s="6">
        <v>0.0</v>
      </c>
      <c r="O78" s="6">
        <v>1.0</v>
      </c>
      <c r="P78" s="6">
        <v>0.0</v>
      </c>
      <c r="Q78" s="12">
        <v>1.0</v>
      </c>
      <c r="R78" s="12">
        <v>1.0</v>
      </c>
      <c r="S78" s="6">
        <v>1.0</v>
      </c>
      <c r="T78" s="6">
        <v>0.0</v>
      </c>
      <c r="U78" s="12">
        <v>3.0</v>
      </c>
      <c r="V78" s="23">
        <v>1.0</v>
      </c>
      <c r="W78" s="12">
        <v>1.0</v>
      </c>
      <c r="X78" s="6">
        <v>1.0</v>
      </c>
      <c r="Y78" s="6">
        <v>2.0</v>
      </c>
      <c r="Z78" s="6">
        <v>0.0</v>
      </c>
      <c r="AA78" s="6">
        <v>1.0</v>
      </c>
      <c r="AB78" s="12">
        <v>3.0</v>
      </c>
      <c r="AC78" s="12">
        <v>2.0</v>
      </c>
      <c r="AD78" s="6">
        <v>1.0</v>
      </c>
      <c r="AE78" s="6">
        <v>1.0</v>
      </c>
      <c r="AF78" s="12">
        <v>1.0</v>
      </c>
      <c r="AG78" s="6">
        <v>1.0</v>
      </c>
      <c r="AH78" s="6">
        <v>0.0</v>
      </c>
      <c r="AI78" s="12">
        <v>0.0</v>
      </c>
      <c r="AJ78" s="6">
        <v>3.0</v>
      </c>
      <c r="AK78" s="6">
        <v>1.0</v>
      </c>
      <c r="AL78" s="12">
        <v>1.0</v>
      </c>
      <c r="AM78" s="6">
        <v>0.0</v>
      </c>
      <c r="AN78" s="6">
        <v>0.0</v>
      </c>
      <c r="AO78" s="12">
        <v>1.0</v>
      </c>
      <c r="AP78" s="6">
        <v>1.0</v>
      </c>
      <c r="AR78" s="6">
        <f t="shared" si="19"/>
        <v>0.7326950971</v>
      </c>
      <c r="AT78" s="6">
        <f t="shared" si="20"/>
        <v>14</v>
      </c>
      <c r="AU78" s="6"/>
      <c r="AV78" s="6"/>
      <c r="AX78" s="6">
        <f t="shared" si="21"/>
        <v>21</v>
      </c>
      <c r="AY78" s="6"/>
      <c r="AZ78" s="6"/>
    </row>
    <row r="79">
      <c r="B79" s="5" t="s">
        <v>4</v>
      </c>
      <c r="C79" s="12">
        <v>0.0</v>
      </c>
      <c r="D79" s="12">
        <v>0.0</v>
      </c>
      <c r="E79" s="6">
        <v>0.0</v>
      </c>
      <c r="F79" s="6">
        <v>0.0</v>
      </c>
      <c r="G79" s="12">
        <v>1.0</v>
      </c>
      <c r="H79" s="6">
        <v>0.0</v>
      </c>
      <c r="I79" s="6">
        <v>0.0</v>
      </c>
      <c r="J79" s="12">
        <v>1.0</v>
      </c>
      <c r="K79" s="6">
        <v>0.0</v>
      </c>
      <c r="L79" s="12">
        <v>0.0</v>
      </c>
      <c r="M79" s="12">
        <v>0.0</v>
      </c>
      <c r="N79" s="6">
        <v>0.0</v>
      </c>
      <c r="O79" s="6">
        <v>0.0</v>
      </c>
      <c r="P79" s="6">
        <v>0.0</v>
      </c>
      <c r="Q79" s="12">
        <v>0.0</v>
      </c>
      <c r="R79" s="12">
        <v>0.0</v>
      </c>
      <c r="S79" s="6">
        <v>0.0</v>
      </c>
      <c r="T79" s="6">
        <v>0.0</v>
      </c>
      <c r="U79" s="12">
        <v>1.0</v>
      </c>
      <c r="V79" s="23">
        <v>1.0</v>
      </c>
      <c r="W79" s="12">
        <v>1.0</v>
      </c>
      <c r="X79" s="6">
        <v>1.0</v>
      </c>
      <c r="Y79" s="6">
        <v>2.0</v>
      </c>
      <c r="Z79" s="6">
        <v>3.0</v>
      </c>
      <c r="AA79" s="6">
        <v>1.0</v>
      </c>
      <c r="AB79" s="12">
        <v>1.0</v>
      </c>
      <c r="AC79" s="12">
        <v>2.0</v>
      </c>
      <c r="AD79" s="6">
        <v>1.0</v>
      </c>
      <c r="AE79" s="6">
        <v>2.0</v>
      </c>
      <c r="AF79" s="12">
        <v>1.0</v>
      </c>
      <c r="AG79" s="6">
        <v>3.0</v>
      </c>
      <c r="AH79" s="6">
        <v>1.0</v>
      </c>
      <c r="AI79" s="12">
        <v>1.0</v>
      </c>
      <c r="AJ79" s="6">
        <v>2.0</v>
      </c>
      <c r="AK79" s="6">
        <v>0.0</v>
      </c>
      <c r="AL79" s="12">
        <v>1.0</v>
      </c>
      <c r="AM79" s="6">
        <v>3.0</v>
      </c>
      <c r="AN79" s="6">
        <v>0.0</v>
      </c>
      <c r="AO79" s="12">
        <v>1.0</v>
      </c>
      <c r="AP79" s="6">
        <v>0.0</v>
      </c>
      <c r="AR79" s="6">
        <f t="shared" si="19"/>
        <v>0.4103913408</v>
      </c>
      <c r="AT79" s="6">
        <f t="shared" si="20"/>
        <v>4</v>
      </c>
      <c r="AU79" s="6"/>
      <c r="AV79" s="6"/>
      <c r="AX79" s="6">
        <f t="shared" si="21"/>
        <v>27</v>
      </c>
      <c r="AY79" s="6"/>
      <c r="AZ79" s="6"/>
    </row>
    <row r="80">
      <c r="B80" s="5" t="s">
        <v>5</v>
      </c>
      <c r="C80" s="12">
        <v>1.0</v>
      </c>
      <c r="D80" s="12">
        <v>0.0</v>
      </c>
      <c r="E80" s="6">
        <v>1.0</v>
      </c>
      <c r="F80" s="6">
        <v>0.0</v>
      </c>
      <c r="G80" s="12">
        <v>2.0</v>
      </c>
      <c r="H80" s="6">
        <v>0.0</v>
      </c>
      <c r="I80" s="6">
        <v>1.0</v>
      </c>
      <c r="J80" s="12">
        <v>1.0</v>
      </c>
      <c r="K80" s="6">
        <v>1.0</v>
      </c>
      <c r="L80" s="12">
        <v>0.0</v>
      </c>
      <c r="M80" s="12">
        <v>1.0</v>
      </c>
      <c r="N80" s="6">
        <v>1.0</v>
      </c>
      <c r="O80" s="6">
        <v>1.0</v>
      </c>
      <c r="P80" s="6">
        <v>1.0</v>
      </c>
      <c r="Q80" s="12">
        <v>1.0</v>
      </c>
      <c r="R80" s="12">
        <v>0.0</v>
      </c>
      <c r="S80" s="6">
        <v>1.0</v>
      </c>
      <c r="T80" s="6">
        <v>0.0</v>
      </c>
      <c r="U80" s="12">
        <v>2.0</v>
      </c>
      <c r="V80" s="23">
        <v>0.0</v>
      </c>
      <c r="W80" s="12">
        <v>2.0</v>
      </c>
      <c r="X80" s="6">
        <v>3.0</v>
      </c>
      <c r="Y80" s="6">
        <v>1.0</v>
      </c>
      <c r="Z80" s="6">
        <v>2.0</v>
      </c>
      <c r="AA80" s="6">
        <v>1.0</v>
      </c>
      <c r="AB80" s="12">
        <v>2.0</v>
      </c>
      <c r="AC80" s="12">
        <v>1.0</v>
      </c>
      <c r="AD80" s="6">
        <v>1.0</v>
      </c>
      <c r="AE80" s="6">
        <v>1.0</v>
      </c>
      <c r="AF80" s="12">
        <v>0.0</v>
      </c>
      <c r="AG80" s="6">
        <v>1.0</v>
      </c>
      <c r="AH80" s="6">
        <v>2.0</v>
      </c>
      <c r="AI80" s="12">
        <v>2.0</v>
      </c>
      <c r="AJ80" s="6">
        <v>0.0</v>
      </c>
      <c r="AK80" s="6">
        <v>1.0</v>
      </c>
      <c r="AL80" s="12">
        <v>2.0</v>
      </c>
      <c r="AM80" s="6">
        <v>0.0</v>
      </c>
      <c r="AN80" s="6">
        <v>0.0</v>
      </c>
      <c r="AO80" s="12">
        <v>1.0</v>
      </c>
      <c r="AP80" s="6">
        <v>0.0</v>
      </c>
      <c r="AR80" s="6">
        <f t="shared" si="19"/>
        <v>0.6386663737</v>
      </c>
      <c r="AT80" s="6">
        <f t="shared" si="20"/>
        <v>15</v>
      </c>
      <c r="AU80" s="6"/>
      <c r="AV80" s="6"/>
      <c r="AX80" s="6">
        <f t="shared" si="21"/>
        <v>23</v>
      </c>
      <c r="AY80" s="6"/>
      <c r="AZ80" s="6"/>
    </row>
    <row r="81">
      <c r="B81" s="5" t="s">
        <v>6</v>
      </c>
      <c r="C81" s="12">
        <v>2.0</v>
      </c>
      <c r="D81" s="12">
        <v>2.0</v>
      </c>
      <c r="E81" s="6">
        <v>1.0</v>
      </c>
      <c r="F81" s="6">
        <v>0.0</v>
      </c>
      <c r="G81" s="12">
        <v>1.0</v>
      </c>
      <c r="H81" s="6">
        <v>0.0</v>
      </c>
      <c r="I81" s="6">
        <v>0.0</v>
      </c>
      <c r="J81" s="12">
        <v>2.0</v>
      </c>
      <c r="K81" s="6">
        <v>0.0</v>
      </c>
      <c r="L81" s="12">
        <v>1.0</v>
      </c>
      <c r="M81" s="12">
        <v>1.0</v>
      </c>
      <c r="N81" s="6">
        <v>1.0</v>
      </c>
      <c r="O81" s="6">
        <v>0.0</v>
      </c>
      <c r="P81" s="6">
        <v>0.0</v>
      </c>
      <c r="Q81" s="12">
        <v>1.0</v>
      </c>
      <c r="R81" s="12">
        <v>1.0</v>
      </c>
      <c r="S81" s="6">
        <v>0.0</v>
      </c>
      <c r="T81" s="6">
        <v>0.0</v>
      </c>
      <c r="U81" s="12">
        <v>2.0</v>
      </c>
      <c r="V81" s="23">
        <v>1.0</v>
      </c>
      <c r="W81" s="12">
        <v>1.0</v>
      </c>
      <c r="X81" s="6">
        <v>1.0</v>
      </c>
      <c r="Y81" s="6">
        <v>2.0</v>
      </c>
      <c r="Z81" s="6">
        <v>1.0</v>
      </c>
      <c r="AA81" s="6">
        <v>1.0</v>
      </c>
      <c r="AB81" s="12">
        <v>2.0</v>
      </c>
      <c r="AC81" s="12">
        <v>2.0</v>
      </c>
      <c r="AD81" s="6">
        <v>1.0</v>
      </c>
      <c r="AE81" s="6">
        <v>1.0</v>
      </c>
      <c r="AF81" s="12">
        <v>1.0</v>
      </c>
      <c r="AG81" s="6">
        <v>1.0</v>
      </c>
      <c r="AH81" s="6">
        <v>1.0</v>
      </c>
      <c r="AI81" s="12">
        <v>1.0</v>
      </c>
      <c r="AJ81" s="6">
        <v>2.0</v>
      </c>
      <c r="AK81" s="6">
        <v>1.0</v>
      </c>
      <c r="AL81" s="12">
        <v>2.0</v>
      </c>
      <c r="AM81" s="6">
        <v>0.0</v>
      </c>
      <c r="AN81" s="6">
        <v>0.0</v>
      </c>
      <c r="AO81" s="12">
        <v>1.0</v>
      </c>
      <c r="AP81" s="6">
        <v>0.0</v>
      </c>
      <c r="AR81" s="6">
        <f t="shared" si="19"/>
        <v>0.7677718959</v>
      </c>
      <c r="AT81" s="6">
        <f t="shared" si="20"/>
        <v>16</v>
      </c>
      <c r="AU81" s="6"/>
      <c r="AV81" s="6"/>
      <c r="AX81" s="6">
        <f t="shared" si="21"/>
        <v>22</v>
      </c>
      <c r="AY81" s="6"/>
      <c r="AZ81" s="6"/>
    </row>
    <row r="82">
      <c r="B82" s="5" t="s">
        <v>7</v>
      </c>
      <c r="C82" s="12">
        <v>1.0</v>
      </c>
      <c r="D82" s="12">
        <v>2.0</v>
      </c>
      <c r="E82" s="6">
        <v>0.0</v>
      </c>
      <c r="F82" s="6">
        <v>0.0</v>
      </c>
      <c r="G82" s="12">
        <v>1.0</v>
      </c>
      <c r="H82" s="6">
        <v>0.0</v>
      </c>
      <c r="I82" s="6">
        <v>0.0</v>
      </c>
      <c r="J82" s="12">
        <v>2.0</v>
      </c>
      <c r="K82" s="6">
        <v>0.0</v>
      </c>
      <c r="L82" s="12">
        <v>0.0</v>
      </c>
      <c r="M82" s="12">
        <v>1.0</v>
      </c>
      <c r="N82" s="6">
        <v>1.0</v>
      </c>
      <c r="O82" s="6">
        <v>0.0</v>
      </c>
      <c r="P82" s="6">
        <v>0.0</v>
      </c>
      <c r="Q82" s="12">
        <v>1.0</v>
      </c>
      <c r="R82" s="12">
        <v>0.0</v>
      </c>
      <c r="S82" s="6">
        <v>0.0</v>
      </c>
      <c r="T82" s="6">
        <v>0.0</v>
      </c>
      <c r="U82" s="12">
        <v>1.0</v>
      </c>
      <c r="V82" s="23">
        <v>0.0</v>
      </c>
      <c r="W82" s="12">
        <v>1.0</v>
      </c>
      <c r="X82" s="6">
        <v>1.0</v>
      </c>
      <c r="Y82" s="6">
        <v>3.0</v>
      </c>
      <c r="Z82" s="6">
        <v>0.0</v>
      </c>
      <c r="AA82" s="6">
        <v>1.0</v>
      </c>
      <c r="AB82" s="12">
        <v>1.0</v>
      </c>
      <c r="AC82" s="12">
        <v>0.0</v>
      </c>
      <c r="AD82" s="6">
        <v>1.0</v>
      </c>
      <c r="AE82" s="6">
        <v>0.0</v>
      </c>
      <c r="AF82" s="12">
        <v>1.0</v>
      </c>
      <c r="AG82" s="6">
        <v>1.0</v>
      </c>
      <c r="AH82" s="6">
        <v>2.0</v>
      </c>
      <c r="AI82" s="12">
        <v>2.0</v>
      </c>
      <c r="AJ82" s="6">
        <v>1.0</v>
      </c>
      <c r="AK82" s="6">
        <v>1.0</v>
      </c>
      <c r="AL82" s="12">
        <v>2.0</v>
      </c>
      <c r="AM82" s="6">
        <v>0.0</v>
      </c>
      <c r="AN82" s="6">
        <v>0.0</v>
      </c>
      <c r="AO82" s="12">
        <v>0.0</v>
      </c>
      <c r="AP82" s="6">
        <v>2.0</v>
      </c>
      <c r="AR82" s="6">
        <f t="shared" si="19"/>
        <v>0.6882472016</v>
      </c>
      <c r="AT82" s="6">
        <f t="shared" si="20"/>
        <v>10</v>
      </c>
      <c r="AU82" s="6"/>
      <c r="AV82" s="6"/>
      <c r="AX82" s="6">
        <f t="shared" si="21"/>
        <v>20</v>
      </c>
      <c r="AY82" s="6"/>
      <c r="AZ82" s="6"/>
    </row>
    <row r="83">
      <c r="B83" s="5" t="s">
        <v>8</v>
      </c>
      <c r="C83" s="12">
        <v>1.0</v>
      </c>
      <c r="D83" s="12">
        <v>0.0</v>
      </c>
      <c r="E83" s="6">
        <v>1.0</v>
      </c>
      <c r="F83" s="6">
        <v>0.0</v>
      </c>
      <c r="G83" s="12">
        <v>1.0</v>
      </c>
      <c r="H83" s="6">
        <v>0.0</v>
      </c>
      <c r="I83" s="6">
        <v>0.0</v>
      </c>
      <c r="J83" s="12">
        <v>1.0</v>
      </c>
      <c r="K83" s="6">
        <v>0.0</v>
      </c>
      <c r="L83" s="12">
        <v>0.0</v>
      </c>
      <c r="M83" s="12">
        <v>1.0</v>
      </c>
      <c r="N83" s="6">
        <v>1.0</v>
      </c>
      <c r="O83" s="6">
        <v>0.0</v>
      </c>
      <c r="P83" s="6">
        <v>0.0</v>
      </c>
      <c r="Q83" s="12">
        <v>0.0</v>
      </c>
      <c r="R83" s="12">
        <v>1.0</v>
      </c>
      <c r="S83" s="6">
        <v>0.0</v>
      </c>
      <c r="T83" s="6">
        <v>0.0</v>
      </c>
      <c r="U83" s="12">
        <v>1.0</v>
      </c>
      <c r="V83" s="23">
        <v>1.0</v>
      </c>
      <c r="W83" s="12">
        <v>1.0</v>
      </c>
      <c r="X83" s="6">
        <v>1.0</v>
      </c>
      <c r="Y83" s="6">
        <v>3.0</v>
      </c>
      <c r="Z83" s="6">
        <v>1.0</v>
      </c>
      <c r="AA83" s="6">
        <v>1.0</v>
      </c>
      <c r="AB83" s="12">
        <v>1.0</v>
      </c>
      <c r="AC83" s="12">
        <v>1.0</v>
      </c>
      <c r="AD83" s="6">
        <v>1.0</v>
      </c>
      <c r="AE83" s="6">
        <v>1.0</v>
      </c>
      <c r="AF83" s="12">
        <v>0.0</v>
      </c>
      <c r="AG83" s="6">
        <v>1.0</v>
      </c>
      <c r="AH83" s="6">
        <v>0.0</v>
      </c>
      <c r="AI83" s="12">
        <v>1.0</v>
      </c>
      <c r="AJ83" s="6">
        <v>2.0</v>
      </c>
      <c r="AK83" s="6">
        <v>0.0</v>
      </c>
      <c r="AL83" s="12">
        <v>1.0</v>
      </c>
      <c r="AM83" s="6">
        <v>1.0</v>
      </c>
      <c r="AN83" s="6">
        <v>0.0</v>
      </c>
      <c r="AO83" s="12">
        <v>1.0</v>
      </c>
      <c r="AP83" s="6">
        <v>1.0</v>
      </c>
      <c r="AR83" s="6">
        <f t="shared" si="19"/>
        <v>0.5104177855</v>
      </c>
      <c r="AT83" s="6">
        <f t="shared" si="20"/>
        <v>9</v>
      </c>
      <c r="AU83" s="6"/>
      <c r="AV83" s="6"/>
      <c r="AX83" s="6">
        <f t="shared" si="21"/>
        <v>19</v>
      </c>
      <c r="AY83" s="6"/>
      <c r="AZ83" s="6"/>
    </row>
    <row r="84">
      <c r="B84" s="5" t="s">
        <v>9</v>
      </c>
      <c r="C84" s="12">
        <v>2.0</v>
      </c>
      <c r="D84" s="12">
        <v>2.0</v>
      </c>
      <c r="E84" s="6">
        <v>1.0</v>
      </c>
      <c r="F84" s="6">
        <v>0.0</v>
      </c>
      <c r="G84" s="12">
        <v>1.0</v>
      </c>
      <c r="H84" s="6">
        <v>2.0</v>
      </c>
      <c r="I84" s="6">
        <v>0.0</v>
      </c>
      <c r="J84" s="12">
        <v>1.0</v>
      </c>
      <c r="K84" s="6">
        <v>1.0</v>
      </c>
      <c r="L84" s="12">
        <v>1.0</v>
      </c>
      <c r="M84" s="12">
        <v>0.0</v>
      </c>
      <c r="N84" s="6">
        <v>2.0</v>
      </c>
      <c r="O84" s="6">
        <v>2.0</v>
      </c>
      <c r="P84" s="6">
        <v>0.0</v>
      </c>
      <c r="Q84" s="12">
        <v>2.0</v>
      </c>
      <c r="R84" s="12">
        <v>1.0</v>
      </c>
      <c r="S84" s="6">
        <v>1.0</v>
      </c>
      <c r="T84" s="6">
        <v>1.0</v>
      </c>
      <c r="U84" s="12">
        <v>2.0</v>
      </c>
      <c r="V84" s="23">
        <v>0.0</v>
      </c>
      <c r="W84" s="12">
        <v>1.0</v>
      </c>
      <c r="X84" s="6">
        <v>1.0</v>
      </c>
      <c r="Y84" s="6">
        <v>3.0</v>
      </c>
      <c r="Z84" s="6">
        <v>1.0</v>
      </c>
      <c r="AA84" s="6">
        <v>2.0</v>
      </c>
      <c r="AB84" s="12">
        <v>1.0</v>
      </c>
      <c r="AC84" s="12">
        <v>1.0</v>
      </c>
      <c r="AD84" s="6">
        <v>0.0</v>
      </c>
      <c r="AE84" s="6">
        <v>0.0</v>
      </c>
      <c r="AF84" s="12">
        <v>1.0</v>
      </c>
      <c r="AG84" s="6">
        <v>0.0</v>
      </c>
      <c r="AH84" s="6">
        <v>1.0</v>
      </c>
      <c r="AI84" s="12">
        <v>1.0</v>
      </c>
      <c r="AJ84" s="6">
        <v>2.0</v>
      </c>
      <c r="AK84" s="6">
        <v>0.0</v>
      </c>
      <c r="AL84" s="12">
        <v>1.0</v>
      </c>
      <c r="AM84" s="6">
        <v>0.0</v>
      </c>
      <c r="AN84" s="6">
        <v>0.0</v>
      </c>
      <c r="AO84" s="12">
        <v>1.0</v>
      </c>
      <c r="AP84" s="6">
        <v>0.0</v>
      </c>
      <c r="AR84" s="6">
        <f t="shared" si="19"/>
        <v>0.7880689257</v>
      </c>
      <c r="AT84" s="6">
        <f t="shared" si="20"/>
        <v>22</v>
      </c>
      <c r="AU84" s="6"/>
      <c r="AV84" s="6"/>
      <c r="AX84" s="6">
        <f t="shared" si="21"/>
        <v>17</v>
      </c>
      <c r="AY84" s="6"/>
      <c r="AZ84" s="6"/>
    </row>
    <row r="85">
      <c r="B85" s="5" t="s">
        <v>10</v>
      </c>
      <c r="C85" s="12">
        <v>2.0</v>
      </c>
      <c r="D85" s="12">
        <v>2.0</v>
      </c>
      <c r="E85" s="6">
        <v>1.0</v>
      </c>
      <c r="F85" s="6">
        <v>0.0</v>
      </c>
      <c r="G85" s="12">
        <v>3.0</v>
      </c>
      <c r="H85" s="6">
        <v>1.0</v>
      </c>
      <c r="I85" s="6">
        <v>2.0</v>
      </c>
      <c r="J85" s="12">
        <v>2.0</v>
      </c>
      <c r="K85" s="6">
        <v>2.0</v>
      </c>
      <c r="L85" s="12">
        <v>1.0</v>
      </c>
      <c r="M85" s="12">
        <v>1.0</v>
      </c>
      <c r="N85" s="6">
        <v>2.0</v>
      </c>
      <c r="O85" s="6">
        <v>1.0</v>
      </c>
      <c r="P85" s="6">
        <v>1.0</v>
      </c>
      <c r="Q85" s="12">
        <v>2.0</v>
      </c>
      <c r="R85" s="12">
        <v>1.0</v>
      </c>
      <c r="S85" s="6">
        <v>2.0</v>
      </c>
      <c r="T85" s="6">
        <v>1.0</v>
      </c>
      <c r="U85" s="12">
        <v>2.0</v>
      </c>
      <c r="V85" s="23">
        <v>2.0</v>
      </c>
      <c r="W85" s="12">
        <v>1.0</v>
      </c>
      <c r="X85" s="6">
        <v>1.0</v>
      </c>
      <c r="Y85" s="6">
        <v>2.0</v>
      </c>
      <c r="Z85" s="6">
        <v>2.0</v>
      </c>
      <c r="AA85" s="6">
        <v>1.0</v>
      </c>
      <c r="AB85" s="12">
        <v>0.0</v>
      </c>
      <c r="AC85" s="12">
        <v>1.0</v>
      </c>
      <c r="AD85" s="6">
        <v>2.0</v>
      </c>
      <c r="AE85" s="6">
        <v>1.0</v>
      </c>
      <c r="AF85" s="12">
        <v>0.0</v>
      </c>
      <c r="AG85" s="6">
        <v>0.0</v>
      </c>
      <c r="AH85" s="6">
        <v>0.0</v>
      </c>
      <c r="AI85" s="12">
        <v>1.0</v>
      </c>
      <c r="AJ85" s="6">
        <v>2.0</v>
      </c>
      <c r="AK85" s="6">
        <v>0.0</v>
      </c>
      <c r="AL85" s="12">
        <v>0.0</v>
      </c>
      <c r="AM85" s="6">
        <v>1.0</v>
      </c>
      <c r="AN85" s="6">
        <v>0.0</v>
      </c>
      <c r="AO85" s="12">
        <v>0.0</v>
      </c>
      <c r="AP85" s="6">
        <v>0.0</v>
      </c>
      <c r="AR85" s="6">
        <f t="shared" si="19"/>
        <v>0.6863327412</v>
      </c>
      <c r="AT85" s="6">
        <f t="shared" si="20"/>
        <v>31</v>
      </c>
      <c r="AU85" s="6"/>
      <c r="AV85" s="6"/>
      <c r="AX85" s="6">
        <f t="shared" si="21"/>
        <v>15</v>
      </c>
      <c r="AY85" s="6"/>
      <c r="AZ85" s="6"/>
    </row>
    <row r="86">
      <c r="B86" s="5" t="s">
        <v>11</v>
      </c>
      <c r="C86" s="12">
        <v>1.0</v>
      </c>
      <c r="D86" s="12">
        <v>1.0</v>
      </c>
      <c r="E86" s="6">
        <v>1.0</v>
      </c>
      <c r="F86" s="6">
        <v>0.0</v>
      </c>
      <c r="G86" s="12">
        <v>2.0</v>
      </c>
      <c r="H86" s="6">
        <v>0.0</v>
      </c>
      <c r="I86" s="6">
        <v>0.0</v>
      </c>
      <c r="J86" s="12">
        <v>1.0</v>
      </c>
      <c r="K86" s="6">
        <v>0.0</v>
      </c>
      <c r="L86" s="12">
        <v>2.0</v>
      </c>
      <c r="M86" s="12">
        <v>1.0</v>
      </c>
      <c r="N86" s="6">
        <v>0.0</v>
      </c>
      <c r="O86" s="6">
        <v>0.0</v>
      </c>
      <c r="P86" s="6">
        <v>0.0</v>
      </c>
      <c r="Q86" s="12">
        <v>1.0</v>
      </c>
      <c r="R86" s="12">
        <v>2.0</v>
      </c>
      <c r="S86" s="6">
        <v>0.0</v>
      </c>
      <c r="T86" s="6">
        <v>0.0</v>
      </c>
      <c r="U86" s="12">
        <v>3.0</v>
      </c>
      <c r="V86" s="23">
        <v>1.0</v>
      </c>
      <c r="W86" s="12">
        <v>1.0</v>
      </c>
      <c r="X86" s="6">
        <v>1.0</v>
      </c>
      <c r="Y86" s="6">
        <v>1.0</v>
      </c>
      <c r="Z86" s="6">
        <v>0.0</v>
      </c>
      <c r="AA86" s="6">
        <v>1.0</v>
      </c>
      <c r="AB86" s="12">
        <v>2.0</v>
      </c>
      <c r="AC86" s="12">
        <v>2.0</v>
      </c>
      <c r="AD86" s="6">
        <v>0.0</v>
      </c>
      <c r="AE86" s="6">
        <v>0.0</v>
      </c>
      <c r="AF86" s="12">
        <v>1.0</v>
      </c>
      <c r="AG86" s="6">
        <v>0.0</v>
      </c>
      <c r="AH86" s="6">
        <v>1.0</v>
      </c>
      <c r="AI86" s="12">
        <v>2.0</v>
      </c>
      <c r="AJ86" s="6">
        <v>1.0</v>
      </c>
      <c r="AK86" s="6">
        <v>0.0</v>
      </c>
      <c r="AL86" s="12">
        <v>1.0</v>
      </c>
      <c r="AM86" s="6">
        <v>1.0</v>
      </c>
      <c r="AN86" s="6">
        <v>0.0</v>
      </c>
      <c r="AO86" s="12">
        <v>2.0</v>
      </c>
      <c r="AP86" s="6">
        <v>1.0</v>
      </c>
      <c r="AR86" s="6">
        <f t="shared" si="19"/>
        <v>0.894427191</v>
      </c>
      <c r="AT86" s="6">
        <f t="shared" si="20"/>
        <v>16</v>
      </c>
      <c r="AU86" s="6"/>
      <c r="AV86" s="6"/>
      <c r="AX86" s="6">
        <f t="shared" si="21"/>
        <v>18</v>
      </c>
      <c r="AY86" s="6"/>
      <c r="AZ86" s="6"/>
    </row>
    <row r="87">
      <c r="B87" s="5" t="s">
        <v>12</v>
      </c>
      <c r="C87" s="12">
        <v>0.0</v>
      </c>
      <c r="D87" s="12">
        <v>0.0</v>
      </c>
      <c r="E87" s="6">
        <v>0.0</v>
      </c>
      <c r="F87" s="6">
        <v>0.0</v>
      </c>
      <c r="G87" s="12">
        <v>0.0</v>
      </c>
      <c r="H87" s="6">
        <v>0.0</v>
      </c>
      <c r="I87" s="6">
        <v>0.0</v>
      </c>
      <c r="J87" s="12">
        <v>1.0</v>
      </c>
      <c r="K87" s="6">
        <v>0.0</v>
      </c>
      <c r="L87" s="12">
        <v>0.0</v>
      </c>
      <c r="M87" s="12">
        <v>0.0</v>
      </c>
      <c r="N87" s="6">
        <v>0.0</v>
      </c>
      <c r="O87" s="6">
        <v>0.0</v>
      </c>
      <c r="P87" s="6">
        <v>0.0</v>
      </c>
      <c r="Q87" s="12">
        <v>0.0</v>
      </c>
      <c r="R87" s="12">
        <v>0.0</v>
      </c>
      <c r="S87" s="6">
        <v>0.0</v>
      </c>
      <c r="T87" s="6">
        <v>0.0</v>
      </c>
      <c r="U87" s="12">
        <v>0.0</v>
      </c>
      <c r="V87" s="23">
        <v>0.0</v>
      </c>
      <c r="W87" s="12">
        <v>1.0</v>
      </c>
      <c r="X87" s="6">
        <v>1.0</v>
      </c>
      <c r="Y87" s="6">
        <v>2.0</v>
      </c>
      <c r="Z87" s="6">
        <v>1.0</v>
      </c>
      <c r="AA87" s="6">
        <v>1.0</v>
      </c>
      <c r="AB87" s="12">
        <v>1.0</v>
      </c>
      <c r="AC87" s="12">
        <v>0.0</v>
      </c>
      <c r="AD87" s="6">
        <v>1.0</v>
      </c>
      <c r="AE87" s="6">
        <v>1.0</v>
      </c>
      <c r="AF87" s="12">
        <v>1.0</v>
      </c>
      <c r="AG87" s="6">
        <v>1.0</v>
      </c>
      <c r="AH87" s="6">
        <v>1.0</v>
      </c>
      <c r="AI87" s="12">
        <v>1.0</v>
      </c>
      <c r="AJ87" s="6">
        <v>2.0</v>
      </c>
      <c r="AK87" s="6">
        <v>0.0</v>
      </c>
      <c r="AL87" s="12">
        <v>1.0</v>
      </c>
      <c r="AM87" s="6">
        <v>1.0</v>
      </c>
      <c r="AN87" s="6">
        <v>0.0</v>
      </c>
      <c r="AO87" s="12">
        <v>0.0</v>
      </c>
      <c r="AP87" s="6">
        <v>1.0</v>
      </c>
      <c r="AR87" s="6">
        <f t="shared" si="19"/>
        <v>0.2236067977</v>
      </c>
      <c r="AT87" s="6">
        <f t="shared" si="20"/>
        <v>1</v>
      </c>
      <c r="AU87" s="6"/>
      <c r="AV87" s="6"/>
      <c r="AX87" s="6">
        <f t="shared" si="21"/>
        <v>18</v>
      </c>
      <c r="AY87" s="6"/>
      <c r="AZ87" s="6"/>
    </row>
    <row r="88">
      <c r="B88" s="5" t="s">
        <v>13</v>
      </c>
      <c r="C88" s="12">
        <v>3.0</v>
      </c>
      <c r="D88" s="12">
        <v>2.0</v>
      </c>
      <c r="E88" s="6">
        <v>2.0</v>
      </c>
      <c r="F88" s="6">
        <v>0.0</v>
      </c>
      <c r="G88" s="12">
        <v>2.0</v>
      </c>
      <c r="H88" s="6">
        <v>1.0</v>
      </c>
      <c r="I88" s="6">
        <v>1.0</v>
      </c>
      <c r="J88" s="12">
        <v>1.0</v>
      </c>
      <c r="K88" s="6">
        <v>1.0</v>
      </c>
      <c r="L88" s="12">
        <v>1.0</v>
      </c>
      <c r="M88" s="12">
        <v>1.0</v>
      </c>
      <c r="N88" s="6">
        <v>3.0</v>
      </c>
      <c r="O88" s="6">
        <v>2.0</v>
      </c>
      <c r="P88" s="6">
        <v>2.0</v>
      </c>
      <c r="Q88" s="12">
        <v>3.0</v>
      </c>
      <c r="R88" s="12">
        <v>2.0</v>
      </c>
      <c r="S88" s="6">
        <v>1.0</v>
      </c>
      <c r="T88" s="6">
        <v>0.0</v>
      </c>
      <c r="U88" s="12">
        <v>2.0</v>
      </c>
      <c r="V88" s="23">
        <v>2.0</v>
      </c>
      <c r="W88" s="12">
        <v>1.0</v>
      </c>
      <c r="X88" s="6">
        <v>2.0</v>
      </c>
      <c r="Y88" s="6">
        <v>1.0</v>
      </c>
      <c r="Z88" s="6">
        <v>0.0</v>
      </c>
      <c r="AA88" s="6">
        <v>1.0</v>
      </c>
      <c r="AB88" s="12">
        <v>2.0</v>
      </c>
      <c r="AC88" s="12">
        <v>3.0</v>
      </c>
      <c r="AD88" s="6">
        <v>3.0</v>
      </c>
      <c r="AE88" s="6">
        <v>2.0</v>
      </c>
      <c r="AF88" s="12">
        <v>0.0</v>
      </c>
      <c r="AG88" s="6">
        <v>1.0</v>
      </c>
      <c r="AH88" s="6">
        <v>0.0</v>
      </c>
      <c r="AI88" s="12">
        <v>1.0</v>
      </c>
      <c r="AJ88" s="6">
        <v>1.0</v>
      </c>
      <c r="AK88" s="6">
        <v>0.0</v>
      </c>
      <c r="AL88" s="12">
        <v>1.0</v>
      </c>
      <c r="AM88" s="6">
        <v>2.0</v>
      </c>
      <c r="AN88" s="6">
        <v>2.0</v>
      </c>
      <c r="AO88" s="12">
        <v>2.0</v>
      </c>
      <c r="AP88" s="6">
        <v>2.0</v>
      </c>
      <c r="AR88" s="6">
        <f t="shared" si="19"/>
        <v>0.8825799502</v>
      </c>
      <c r="AT88" s="6">
        <f t="shared" si="20"/>
        <v>32</v>
      </c>
      <c r="AU88" s="6"/>
      <c r="AV88" s="6"/>
      <c r="AX88" s="6">
        <f t="shared" si="21"/>
        <v>27</v>
      </c>
      <c r="AY88" s="6"/>
      <c r="AZ88" s="6"/>
    </row>
    <row r="89">
      <c r="B89" s="5" t="s">
        <v>14</v>
      </c>
      <c r="C89" s="12">
        <v>2.0</v>
      </c>
      <c r="D89" s="12">
        <v>1.0</v>
      </c>
      <c r="E89" s="6">
        <v>1.0</v>
      </c>
      <c r="F89" s="6">
        <v>0.0</v>
      </c>
      <c r="G89" s="12">
        <v>1.0</v>
      </c>
      <c r="H89" s="6">
        <v>0.0</v>
      </c>
      <c r="I89" s="6">
        <v>1.0</v>
      </c>
      <c r="J89" s="12">
        <v>1.0</v>
      </c>
      <c r="K89" s="6">
        <v>0.0</v>
      </c>
      <c r="L89" s="12">
        <v>1.0</v>
      </c>
      <c r="M89" s="12">
        <v>0.0</v>
      </c>
      <c r="N89" s="6">
        <v>1.0</v>
      </c>
      <c r="O89" s="6">
        <v>0.0</v>
      </c>
      <c r="P89" s="6">
        <v>0.0</v>
      </c>
      <c r="Q89" s="12">
        <v>1.0</v>
      </c>
      <c r="R89" s="12">
        <v>1.0</v>
      </c>
      <c r="S89" s="6">
        <v>1.0</v>
      </c>
      <c r="T89" s="6">
        <v>0.0</v>
      </c>
      <c r="U89" s="12">
        <v>1.0</v>
      </c>
      <c r="V89" s="23">
        <v>1.0</v>
      </c>
      <c r="W89" s="12">
        <v>1.0</v>
      </c>
      <c r="X89" s="6">
        <v>1.0</v>
      </c>
      <c r="Y89" s="6">
        <v>2.0</v>
      </c>
      <c r="Z89" s="6">
        <v>0.0</v>
      </c>
      <c r="AA89" s="6">
        <v>1.0</v>
      </c>
      <c r="AB89" s="12">
        <v>1.0</v>
      </c>
      <c r="AC89" s="12">
        <v>1.0</v>
      </c>
      <c r="AD89" s="6">
        <v>0.0</v>
      </c>
      <c r="AE89" s="6">
        <v>0.0</v>
      </c>
      <c r="AF89" s="12">
        <v>1.0</v>
      </c>
      <c r="AG89" s="6">
        <v>0.0</v>
      </c>
      <c r="AH89" s="6">
        <v>1.0</v>
      </c>
      <c r="AI89" s="12">
        <v>0.0</v>
      </c>
      <c r="AJ89" s="6">
        <v>3.0</v>
      </c>
      <c r="AK89" s="6">
        <v>0.0</v>
      </c>
      <c r="AL89" s="12">
        <v>1.0</v>
      </c>
      <c r="AM89" s="6">
        <v>1.0</v>
      </c>
      <c r="AN89" s="6">
        <v>1.0</v>
      </c>
      <c r="AO89" s="12">
        <v>1.0</v>
      </c>
      <c r="AP89" s="6">
        <v>1.0</v>
      </c>
      <c r="AR89" s="6">
        <f t="shared" si="19"/>
        <v>0.5712405706</v>
      </c>
      <c r="AT89" s="6">
        <f t="shared" si="20"/>
        <v>14</v>
      </c>
      <c r="AU89" s="6"/>
      <c r="AV89" s="6"/>
      <c r="AX89" s="6">
        <f t="shared" si="21"/>
        <v>17</v>
      </c>
      <c r="AY89" s="6"/>
      <c r="AZ89" s="6"/>
    </row>
    <row r="90">
      <c r="B90" s="5" t="s">
        <v>15</v>
      </c>
      <c r="C90" s="12">
        <v>1.0</v>
      </c>
      <c r="D90" s="12">
        <v>1.0</v>
      </c>
      <c r="E90" s="6">
        <v>0.0</v>
      </c>
      <c r="F90" s="6">
        <v>0.0</v>
      </c>
      <c r="G90" s="12">
        <v>1.0</v>
      </c>
      <c r="H90" s="6">
        <v>0.0</v>
      </c>
      <c r="I90" s="6">
        <v>0.0</v>
      </c>
      <c r="J90" s="12">
        <v>1.0</v>
      </c>
      <c r="K90" s="6">
        <v>0.0</v>
      </c>
      <c r="L90" s="12">
        <v>0.0</v>
      </c>
      <c r="M90" s="12">
        <v>0.0</v>
      </c>
      <c r="N90" s="6">
        <v>0.0</v>
      </c>
      <c r="O90" s="6">
        <v>0.0</v>
      </c>
      <c r="P90" s="6">
        <v>0.0</v>
      </c>
      <c r="Q90" s="12">
        <v>1.0</v>
      </c>
      <c r="R90" s="12">
        <v>1.0</v>
      </c>
      <c r="S90" s="6">
        <v>0.0</v>
      </c>
      <c r="T90" s="6">
        <v>0.0</v>
      </c>
      <c r="U90" s="12">
        <v>1.0</v>
      </c>
      <c r="V90" s="23">
        <v>1.0</v>
      </c>
      <c r="W90" s="12">
        <v>2.0</v>
      </c>
      <c r="X90" s="6">
        <v>2.0</v>
      </c>
      <c r="Y90" s="6">
        <v>1.0</v>
      </c>
      <c r="Z90" s="6">
        <v>1.0</v>
      </c>
      <c r="AA90" s="6">
        <v>1.0</v>
      </c>
      <c r="AB90" s="12">
        <v>3.0</v>
      </c>
      <c r="AC90" s="12">
        <v>2.0</v>
      </c>
      <c r="AD90" s="6">
        <v>1.0</v>
      </c>
      <c r="AE90" s="6">
        <v>2.0</v>
      </c>
      <c r="AF90" s="12">
        <v>2.0</v>
      </c>
      <c r="AG90" s="6">
        <v>0.0</v>
      </c>
      <c r="AH90" s="6">
        <v>1.0</v>
      </c>
      <c r="AI90" s="12">
        <v>2.0</v>
      </c>
      <c r="AJ90" s="6">
        <v>1.0</v>
      </c>
      <c r="AK90" s="6">
        <v>0.0</v>
      </c>
      <c r="AL90" s="12">
        <v>2.0</v>
      </c>
      <c r="AM90" s="6">
        <v>2.0</v>
      </c>
      <c r="AN90" s="6">
        <v>0.0</v>
      </c>
      <c r="AO90" s="12">
        <v>1.0</v>
      </c>
      <c r="AP90" s="6">
        <v>0.0</v>
      </c>
      <c r="AR90" s="6">
        <f t="shared" si="19"/>
        <v>0.50262469</v>
      </c>
      <c r="AT90" s="6">
        <f t="shared" si="20"/>
        <v>8</v>
      </c>
      <c r="AU90" s="6"/>
      <c r="AV90" s="6"/>
      <c r="AX90" s="6">
        <f t="shared" si="21"/>
        <v>26</v>
      </c>
      <c r="AY90" s="6"/>
      <c r="AZ90" s="6"/>
    </row>
    <row r="91">
      <c r="B91" s="8" t="s">
        <v>16</v>
      </c>
      <c r="C91" s="12">
        <v>1.0</v>
      </c>
      <c r="D91" s="12">
        <v>0.0</v>
      </c>
      <c r="E91" s="6">
        <v>0.0</v>
      </c>
      <c r="F91" s="6">
        <v>0.0</v>
      </c>
      <c r="G91" s="12">
        <v>2.0</v>
      </c>
      <c r="H91" s="6">
        <v>0.0</v>
      </c>
      <c r="I91" s="6">
        <v>0.0</v>
      </c>
      <c r="J91" s="12">
        <v>1.0</v>
      </c>
      <c r="K91" s="6">
        <v>0.0</v>
      </c>
      <c r="L91" s="12">
        <v>1.0</v>
      </c>
      <c r="M91" s="12">
        <v>1.0</v>
      </c>
      <c r="N91" s="6">
        <v>1.0</v>
      </c>
      <c r="O91" s="6">
        <v>0.0</v>
      </c>
      <c r="P91" s="6">
        <v>0.0</v>
      </c>
      <c r="Q91" s="12">
        <v>0.0</v>
      </c>
      <c r="R91" s="12">
        <v>0.0</v>
      </c>
      <c r="S91" s="6">
        <v>0.0</v>
      </c>
      <c r="T91" s="6">
        <v>0.0</v>
      </c>
      <c r="U91" s="12">
        <v>1.0</v>
      </c>
      <c r="V91" s="23">
        <v>0.0</v>
      </c>
      <c r="W91" s="12">
        <v>0.0</v>
      </c>
      <c r="X91" s="6">
        <v>0.0</v>
      </c>
      <c r="Y91" s="6">
        <v>2.0</v>
      </c>
      <c r="Z91" s="6">
        <v>1.0</v>
      </c>
      <c r="AA91" s="6">
        <v>1.0</v>
      </c>
      <c r="AB91" s="12">
        <v>0.0</v>
      </c>
      <c r="AC91" s="12">
        <v>0.0</v>
      </c>
      <c r="AD91" s="6">
        <v>0.0</v>
      </c>
      <c r="AE91" s="6">
        <v>0.0</v>
      </c>
      <c r="AF91" s="12">
        <v>1.0</v>
      </c>
      <c r="AG91" s="6">
        <v>0.0</v>
      </c>
      <c r="AH91" s="6">
        <v>1.0</v>
      </c>
      <c r="AI91" s="12">
        <v>1.0</v>
      </c>
      <c r="AJ91" s="6">
        <v>1.0</v>
      </c>
      <c r="AK91" s="6">
        <v>1.0</v>
      </c>
      <c r="AL91" s="12">
        <v>1.0</v>
      </c>
      <c r="AM91" s="6">
        <v>1.0</v>
      </c>
      <c r="AN91" s="6">
        <v>0.0</v>
      </c>
      <c r="AO91" s="12">
        <v>1.0</v>
      </c>
      <c r="AP91" s="6">
        <v>0.0</v>
      </c>
      <c r="AR91" s="6">
        <f t="shared" si="19"/>
        <v>0.5982430416</v>
      </c>
      <c r="AT91" s="6">
        <f t="shared" si="20"/>
        <v>8</v>
      </c>
      <c r="AU91" s="6"/>
      <c r="AV91" s="6"/>
      <c r="AX91" s="6">
        <f t="shared" si="21"/>
        <v>12</v>
      </c>
      <c r="AY91" s="6"/>
      <c r="AZ91" s="6"/>
    </row>
    <row r="92">
      <c r="B92" s="8" t="s">
        <v>17</v>
      </c>
      <c r="C92" s="12">
        <v>0.0</v>
      </c>
      <c r="D92" s="12">
        <v>1.0</v>
      </c>
      <c r="E92" s="6">
        <v>0.0</v>
      </c>
      <c r="F92" s="6">
        <v>0.0</v>
      </c>
      <c r="G92" s="12">
        <v>0.0</v>
      </c>
      <c r="H92" s="6">
        <v>0.0</v>
      </c>
      <c r="I92" s="6">
        <v>1.0</v>
      </c>
      <c r="J92" s="12">
        <v>1.0</v>
      </c>
      <c r="K92" s="6">
        <v>0.0</v>
      </c>
      <c r="L92" s="12">
        <v>0.0</v>
      </c>
      <c r="M92" s="12">
        <v>1.0</v>
      </c>
      <c r="N92" s="6">
        <v>0.0</v>
      </c>
      <c r="O92" s="6">
        <v>0.0</v>
      </c>
      <c r="P92" s="6">
        <v>0.0</v>
      </c>
      <c r="Q92" s="12">
        <v>0.0</v>
      </c>
      <c r="R92" s="12">
        <v>0.0</v>
      </c>
      <c r="S92" s="6">
        <v>0.0</v>
      </c>
      <c r="T92" s="6">
        <v>0.0</v>
      </c>
      <c r="U92" s="12">
        <v>0.0</v>
      </c>
      <c r="V92" s="23">
        <v>0.0</v>
      </c>
      <c r="W92" s="12">
        <v>0.0</v>
      </c>
      <c r="X92" s="6">
        <v>0.0</v>
      </c>
      <c r="Y92" s="6">
        <v>2.0</v>
      </c>
      <c r="Z92" s="6">
        <v>0.0</v>
      </c>
      <c r="AA92" s="6">
        <v>1.0</v>
      </c>
      <c r="AB92" s="12">
        <v>1.0</v>
      </c>
      <c r="AC92" s="12">
        <v>0.0</v>
      </c>
      <c r="AD92" s="6">
        <v>0.0</v>
      </c>
      <c r="AE92" s="6">
        <v>0.0</v>
      </c>
      <c r="AF92" s="12">
        <v>0.0</v>
      </c>
      <c r="AG92" s="6">
        <v>0.0</v>
      </c>
      <c r="AH92" s="6">
        <v>1.0</v>
      </c>
      <c r="AI92" s="12">
        <v>1.0</v>
      </c>
      <c r="AJ92" s="6">
        <v>1.0</v>
      </c>
      <c r="AK92" s="6">
        <v>0.0</v>
      </c>
      <c r="AL92" s="12">
        <v>0.0</v>
      </c>
      <c r="AM92" s="6">
        <v>1.0</v>
      </c>
      <c r="AN92" s="6">
        <v>0.0</v>
      </c>
      <c r="AO92" s="12">
        <v>0.0</v>
      </c>
      <c r="AP92" s="6">
        <v>1.0</v>
      </c>
      <c r="AR92" s="6">
        <f t="shared" si="19"/>
        <v>0.4103913408</v>
      </c>
      <c r="AT92" s="6">
        <f t="shared" si="20"/>
        <v>4</v>
      </c>
      <c r="AU92" s="6"/>
      <c r="AV92" s="6"/>
      <c r="AX92" s="6">
        <f t="shared" si="21"/>
        <v>9</v>
      </c>
      <c r="AY92" s="6"/>
      <c r="AZ92" s="6"/>
    </row>
    <row r="93">
      <c r="B93" s="8" t="s">
        <v>18</v>
      </c>
      <c r="C93" s="12">
        <v>0.0</v>
      </c>
      <c r="D93" s="12">
        <v>0.0</v>
      </c>
      <c r="E93" s="6">
        <v>0.0</v>
      </c>
      <c r="F93" s="6">
        <v>0.0</v>
      </c>
      <c r="G93" s="12">
        <v>1.0</v>
      </c>
      <c r="H93" s="6">
        <v>0.0</v>
      </c>
      <c r="I93" s="6">
        <v>0.0</v>
      </c>
      <c r="J93" s="12">
        <v>1.0</v>
      </c>
      <c r="K93" s="6">
        <v>0.0</v>
      </c>
      <c r="L93" s="12">
        <v>1.0</v>
      </c>
      <c r="M93" s="12">
        <v>0.0</v>
      </c>
      <c r="N93" s="6">
        <v>0.0</v>
      </c>
      <c r="O93" s="6">
        <v>0.0</v>
      </c>
      <c r="P93" s="6">
        <v>0.0</v>
      </c>
      <c r="Q93" s="12">
        <v>1.0</v>
      </c>
      <c r="R93" s="12">
        <v>1.0</v>
      </c>
      <c r="S93" s="6">
        <v>0.0</v>
      </c>
      <c r="T93" s="6">
        <v>0.0</v>
      </c>
      <c r="U93" s="12">
        <v>1.0</v>
      </c>
      <c r="V93" s="23">
        <v>1.0</v>
      </c>
      <c r="W93" s="12">
        <v>1.0</v>
      </c>
      <c r="X93" s="6">
        <v>1.0</v>
      </c>
      <c r="Y93" s="6">
        <v>2.0</v>
      </c>
      <c r="Z93" s="6">
        <v>0.0</v>
      </c>
      <c r="AA93" s="6">
        <v>0.0</v>
      </c>
      <c r="AB93" s="12">
        <v>2.0</v>
      </c>
      <c r="AC93" s="12">
        <v>2.0</v>
      </c>
      <c r="AD93" s="6">
        <v>0.0</v>
      </c>
      <c r="AE93" s="6">
        <v>1.0</v>
      </c>
      <c r="AF93" s="12">
        <v>1.0</v>
      </c>
      <c r="AG93" s="6">
        <v>0.0</v>
      </c>
      <c r="AH93" s="6">
        <v>0.0</v>
      </c>
      <c r="AI93" s="12">
        <v>0.0</v>
      </c>
      <c r="AJ93" s="6">
        <v>3.0</v>
      </c>
      <c r="AK93" s="6">
        <v>0.0</v>
      </c>
      <c r="AL93" s="12">
        <v>0.0</v>
      </c>
      <c r="AM93" s="6">
        <v>1.0</v>
      </c>
      <c r="AN93" s="6">
        <v>0.0</v>
      </c>
      <c r="AO93" s="12">
        <v>0.0</v>
      </c>
      <c r="AP93" s="6">
        <v>0.0</v>
      </c>
      <c r="AR93" s="6">
        <f t="shared" si="19"/>
        <v>0.4893604849</v>
      </c>
      <c r="AT93" s="6">
        <f t="shared" si="20"/>
        <v>7</v>
      </c>
      <c r="AU93" s="6"/>
      <c r="AV93" s="6"/>
      <c r="AX93" s="6">
        <f t="shared" si="21"/>
        <v>14</v>
      </c>
      <c r="AY93" s="6"/>
      <c r="AZ93" s="6"/>
    </row>
    <row r="94">
      <c r="B94" s="8" t="s">
        <v>19</v>
      </c>
      <c r="C94" s="12">
        <v>1.0</v>
      </c>
      <c r="D94" s="12">
        <v>1.0</v>
      </c>
      <c r="E94" s="6">
        <v>1.0</v>
      </c>
      <c r="F94" s="6">
        <v>0.0</v>
      </c>
      <c r="G94" s="12">
        <v>2.0</v>
      </c>
      <c r="H94" s="6">
        <v>0.0</v>
      </c>
      <c r="I94" s="6">
        <v>0.0</v>
      </c>
      <c r="J94" s="12">
        <v>2.0</v>
      </c>
      <c r="K94" s="6">
        <v>1.0</v>
      </c>
      <c r="L94" s="12">
        <v>0.0</v>
      </c>
      <c r="M94" s="12">
        <v>0.0</v>
      </c>
      <c r="N94" s="6">
        <v>1.0</v>
      </c>
      <c r="O94" s="6">
        <v>1.0</v>
      </c>
      <c r="P94" s="6">
        <v>0.0</v>
      </c>
      <c r="Q94" s="12">
        <v>1.0</v>
      </c>
      <c r="R94" s="12">
        <v>1.0</v>
      </c>
      <c r="S94" s="6">
        <v>1.0</v>
      </c>
      <c r="T94" s="6">
        <v>0.0</v>
      </c>
      <c r="U94" s="12">
        <v>1.0</v>
      </c>
      <c r="V94" s="23">
        <v>1.0</v>
      </c>
      <c r="W94" s="12">
        <v>1.0</v>
      </c>
      <c r="X94" s="6">
        <v>1.0</v>
      </c>
      <c r="Y94" s="6">
        <v>2.0</v>
      </c>
      <c r="Z94" s="6">
        <v>0.0</v>
      </c>
      <c r="AA94" s="6">
        <v>1.0</v>
      </c>
      <c r="AB94" s="12">
        <v>3.0</v>
      </c>
      <c r="AC94" s="12">
        <v>1.0</v>
      </c>
      <c r="AD94" s="6">
        <v>1.0</v>
      </c>
      <c r="AE94" s="6">
        <v>2.0</v>
      </c>
      <c r="AF94" s="12">
        <v>1.0</v>
      </c>
      <c r="AG94" s="6">
        <v>0.0</v>
      </c>
      <c r="AH94" s="6">
        <v>1.0</v>
      </c>
      <c r="AI94" s="12">
        <v>0.0</v>
      </c>
      <c r="AJ94" s="6">
        <v>1.0</v>
      </c>
      <c r="AK94" s="6">
        <v>0.0</v>
      </c>
      <c r="AL94" s="12">
        <v>1.0</v>
      </c>
      <c r="AM94" s="6">
        <v>1.0</v>
      </c>
      <c r="AN94" s="6">
        <v>0.0</v>
      </c>
      <c r="AO94" s="12">
        <v>1.0</v>
      </c>
      <c r="AP94" s="6">
        <v>1.0</v>
      </c>
      <c r="AR94" s="6">
        <f t="shared" si="19"/>
        <v>0.6386663737</v>
      </c>
      <c r="AT94" s="6">
        <f t="shared" si="20"/>
        <v>15</v>
      </c>
      <c r="AU94" s="6"/>
      <c r="AV94" s="6"/>
      <c r="AX94" s="6">
        <f t="shared" si="21"/>
        <v>19</v>
      </c>
      <c r="AY94" s="6"/>
      <c r="AZ94" s="6"/>
    </row>
    <row r="95">
      <c r="B95" s="8" t="s">
        <v>20</v>
      </c>
      <c r="C95" s="12">
        <v>0.0</v>
      </c>
      <c r="D95" s="12">
        <v>0.0</v>
      </c>
      <c r="E95" s="6">
        <v>0.0</v>
      </c>
      <c r="F95" s="6">
        <v>0.0</v>
      </c>
      <c r="G95" s="12">
        <v>1.0</v>
      </c>
      <c r="H95" s="6">
        <v>0.0</v>
      </c>
      <c r="I95" s="6">
        <v>0.0</v>
      </c>
      <c r="J95" s="12">
        <v>1.0</v>
      </c>
      <c r="K95" s="6">
        <v>0.0</v>
      </c>
      <c r="L95" s="12">
        <v>1.0</v>
      </c>
      <c r="M95" s="12">
        <v>1.0</v>
      </c>
      <c r="N95" s="6">
        <v>0.0</v>
      </c>
      <c r="O95" s="6">
        <v>0.0</v>
      </c>
      <c r="P95" s="6">
        <v>0.0</v>
      </c>
      <c r="Q95" s="12">
        <v>1.0</v>
      </c>
      <c r="R95" s="12">
        <v>1.0</v>
      </c>
      <c r="S95" s="6">
        <v>0.0</v>
      </c>
      <c r="T95" s="6">
        <v>0.0</v>
      </c>
      <c r="U95" s="12">
        <v>0.0</v>
      </c>
      <c r="V95" s="23">
        <v>0.0</v>
      </c>
      <c r="W95" s="12">
        <v>1.0</v>
      </c>
      <c r="X95" s="6">
        <v>2.0</v>
      </c>
      <c r="Y95" s="6">
        <v>2.0</v>
      </c>
      <c r="Z95" s="6">
        <v>1.0</v>
      </c>
      <c r="AA95" s="6">
        <v>1.0</v>
      </c>
      <c r="AB95" s="12">
        <v>3.0</v>
      </c>
      <c r="AC95" s="12">
        <v>1.0</v>
      </c>
      <c r="AD95" s="6">
        <v>1.0</v>
      </c>
      <c r="AE95" s="6">
        <v>1.0</v>
      </c>
      <c r="AF95" s="12">
        <v>2.0</v>
      </c>
      <c r="AG95" s="6">
        <v>1.0</v>
      </c>
      <c r="AH95" s="6">
        <v>1.0</v>
      </c>
      <c r="AI95" s="12">
        <v>1.0</v>
      </c>
      <c r="AJ95" s="6">
        <v>2.0</v>
      </c>
      <c r="AK95" s="6">
        <v>2.0</v>
      </c>
      <c r="AL95" s="12">
        <v>2.0</v>
      </c>
      <c r="AM95" s="6">
        <v>1.0</v>
      </c>
      <c r="AN95" s="6">
        <v>0.0</v>
      </c>
      <c r="AO95" s="12">
        <v>2.0</v>
      </c>
      <c r="AP95" s="6">
        <v>0.0</v>
      </c>
      <c r="AR95" s="6">
        <f t="shared" si="19"/>
        <v>0.470162346</v>
      </c>
      <c r="AT95" s="6">
        <f t="shared" si="20"/>
        <v>6</v>
      </c>
      <c r="AU95" s="6"/>
      <c r="AV95" s="6"/>
      <c r="AX95" s="6">
        <f t="shared" si="21"/>
        <v>27</v>
      </c>
      <c r="AY95" s="6"/>
      <c r="AZ95" s="6"/>
    </row>
    <row r="96">
      <c r="B96" s="8" t="s">
        <v>21</v>
      </c>
      <c r="C96" s="12">
        <v>2.0</v>
      </c>
      <c r="D96" s="12">
        <v>0.0</v>
      </c>
      <c r="E96" s="6">
        <v>0.0</v>
      </c>
      <c r="F96" s="6">
        <v>0.0</v>
      </c>
      <c r="G96" s="12">
        <v>1.0</v>
      </c>
      <c r="H96" s="6">
        <v>0.0</v>
      </c>
      <c r="I96" s="6">
        <v>0.0</v>
      </c>
      <c r="J96" s="12">
        <v>0.0</v>
      </c>
      <c r="K96" s="6">
        <v>0.0</v>
      </c>
      <c r="L96" s="12">
        <v>1.0</v>
      </c>
      <c r="M96" s="12">
        <v>0.0</v>
      </c>
      <c r="N96" s="6">
        <v>0.0</v>
      </c>
      <c r="O96" s="6">
        <v>0.0</v>
      </c>
      <c r="P96" s="6">
        <v>0.0</v>
      </c>
      <c r="Q96" s="12">
        <v>0.0</v>
      </c>
      <c r="R96" s="12">
        <v>0.0</v>
      </c>
      <c r="S96" s="6">
        <v>0.0</v>
      </c>
      <c r="T96" s="6">
        <v>0.0</v>
      </c>
      <c r="U96" s="12">
        <v>0.0</v>
      </c>
      <c r="V96" s="23">
        <v>0.0</v>
      </c>
      <c r="W96" s="12">
        <v>0.0</v>
      </c>
      <c r="X96" s="6">
        <v>0.0</v>
      </c>
      <c r="Y96" s="6">
        <v>3.0</v>
      </c>
      <c r="Z96" s="6">
        <v>0.0</v>
      </c>
      <c r="AA96" s="6">
        <v>0.0</v>
      </c>
      <c r="AB96" s="12">
        <v>1.0</v>
      </c>
      <c r="AC96" s="12">
        <v>2.0</v>
      </c>
      <c r="AD96" s="6">
        <v>0.0</v>
      </c>
      <c r="AE96" s="6">
        <v>1.0</v>
      </c>
      <c r="AF96" s="12">
        <v>0.0</v>
      </c>
      <c r="AG96" s="6">
        <v>0.0</v>
      </c>
      <c r="AH96" s="6">
        <v>0.0</v>
      </c>
      <c r="AI96" s="12">
        <v>0.0</v>
      </c>
      <c r="AJ96" s="6">
        <v>3.0</v>
      </c>
      <c r="AK96" s="6">
        <v>1.0</v>
      </c>
      <c r="AL96" s="12">
        <v>0.0</v>
      </c>
      <c r="AM96" s="6">
        <v>1.0</v>
      </c>
      <c r="AN96" s="6">
        <v>0.0</v>
      </c>
      <c r="AO96" s="12">
        <v>1.0</v>
      </c>
      <c r="AP96" s="6">
        <v>0.0</v>
      </c>
      <c r="AR96" s="6">
        <f t="shared" si="19"/>
        <v>0.5231483638</v>
      </c>
      <c r="AT96" s="6">
        <f t="shared" si="20"/>
        <v>4</v>
      </c>
      <c r="AU96" s="6"/>
      <c r="AV96" s="6"/>
      <c r="AX96" s="6">
        <f t="shared" si="21"/>
        <v>13</v>
      </c>
      <c r="AY96" s="6"/>
      <c r="AZ96" s="6"/>
    </row>
    <row r="97">
      <c r="B97" s="8" t="s">
        <v>22</v>
      </c>
      <c r="C97" s="12">
        <v>1.0</v>
      </c>
      <c r="D97" s="12">
        <v>0.0</v>
      </c>
      <c r="E97" s="6">
        <v>0.0</v>
      </c>
      <c r="F97" s="6">
        <v>0.0</v>
      </c>
      <c r="G97" s="12">
        <v>0.0</v>
      </c>
      <c r="H97" s="6">
        <v>0.0</v>
      </c>
      <c r="I97" s="6">
        <v>0.0</v>
      </c>
      <c r="J97" s="12">
        <v>0.0</v>
      </c>
      <c r="K97" s="6">
        <v>0.0</v>
      </c>
      <c r="L97" s="12">
        <v>0.0</v>
      </c>
      <c r="M97" s="12">
        <v>0.0</v>
      </c>
      <c r="N97" s="6">
        <v>0.0</v>
      </c>
      <c r="O97" s="6">
        <v>0.0</v>
      </c>
      <c r="P97" s="6">
        <v>0.0</v>
      </c>
      <c r="Q97" s="12">
        <v>1.0</v>
      </c>
      <c r="R97" s="12">
        <v>1.0</v>
      </c>
      <c r="S97" s="6">
        <v>0.0</v>
      </c>
      <c r="T97" s="6">
        <v>0.0</v>
      </c>
      <c r="U97" s="12">
        <v>0.0</v>
      </c>
      <c r="V97" s="23">
        <v>0.0</v>
      </c>
      <c r="W97" s="12">
        <v>0.0</v>
      </c>
      <c r="X97" s="6">
        <v>1.0</v>
      </c>
      <c r="Y97" s="6">
        <v>3.0</v>
      </c>
      <c r="Z97" s="6">
        <v>2.0</v>
      </c>
      <c r="AA97" s="6">
        <v>1.0</v>
      </c>
      <c r="AB97" s="12">
        <v>1.0</v>
      </c>
      <c r="AC97" s="12">
        <v>1.0</v>
      </c>
      <c r="AD97" s="6">
        <v>1.0</v>
      </c>
      <c r="AE97" s="6">
        <v>0.0</v>
      </c>
      <c r="AF97" s="12">
        <v>0.0</v>
      </c>
      <c r="AG97" s="6">
        <v>1.0</v>
      </c>
      <c r="AH97" s="6">
        <v>1.0</v>
      </c>
      <c r="AI97" s="12">
        <v>0.0</v>
      </c>
      <c r="AJ97" s="6">
        <v>3.0</v>
      </c>
      <c r="AK97" s="6">
        <v>1.0</v>
      </c>
      <c r="AL97" s="12">
        <v>1.0</v>
      </c>
      <c r="AM97" s="6">
        <v>1.0</v>
      </c>
      <c r="AN97" s="6">
        <v>0.0</v>
      </c>
      <c r="AO97" s="12">
        <v>0.0</v>
      </c>
      <c r="AP97" s="6">
        <v>1.0</v>
      </c>
      <c r="AR97" s="6">
        <f t="shared" si="19"/>
        <v>0.3663475485</v>
      </c>
      <c r="AT97" s="6">
        <f t="shared" si="20"/>
        <v>3</v>
      </c>
      <c r="AU97" s="6"/>
      <c r="AV97" s="6"/>
      <c r="AX97" s="6">
        <f t="shared" si="21"/>
        <v>19</v>
      </c>
      <c r="AY97" s="6"/>
      <c r="AZ97" s="6"/>
    </row>
    <row r="98">
      <c r="B98" s="8" t="s">
        <v>23</v>
      </c>
      <c r="C98" s="12">
        <v>1.0</v>
      </c>
      <c r="D98" s="12">
        <v>1.0</v>
      </c>
      <c r="E98" s="6">
        <v>1.0</v>
      </c>
      <c r="F98" s="6">
        <v>0.0</v>
      </c>
      <c r="G98" s="12">
        <v>1.0</v>
      </c>
      <c r="H98" s="6">
        <v>0.0</v>
      </c>
      <c r="I98" s="6">
        <v>0.0</v>
      </c>
      <c r="J98" s="12">
        <v>2.0</v>
      </c>
      <c r="K98" s="6">
        <v>0.0</v>
      </c>
      <c r="L98" s="12">
        <v>0.0</v>
      </c>
      <c r="M98" s="12">
        <v>1.0</v>
      </c>
      <c r="N98" s="6">
        <v>0.0</v>
      </c>
      <c r="O98" s="6">
        <v>1.0</v>
      </c>
      <c r="P98" s="6">
        <v>1.0</v>
      </c>
      <c r="Q98" s="12">
        <v>2.0</v>
      </c>
      <c r="R98" s="12">
        <v>1.0</v>
      </c>
      <c r="S98" s="6">
        <v>1.0</v>
      </c>
      <c r="T98" s="6">
        <v>0.0</v>
      </c>
      <c r="U98" s="12">
        <v>2.0</v>
      </c>
      <c r="V98" s="23">
        <v>1.0</v>
      </c>
      <c r="W98" s="12">
        <v>1.0</v>
      </c>
      <c r="X98" s="6">
        <v>1.0</v>
      </c>
      <c r="Y98" s="6">
        <v>3.0</v>
      </c>
      <c r="Z98" s="6">
        <v>0.0</v>
      </c>
      <c r="AA98" s="6">
        <v>1.0</v>
      </c>
      <c r="AB98" s="12">
        <v>1.0</v>
      </c>
      <c r="AC98" s="12">
        <v>1.0</v>
      </c>
      <c r="AD98" s="6">
        <v>1.0</v>
      </c>
      <c r="AE98" s="6">
        <v>1.0</v>
      </c>
      <c r="AF98" s="12">
        <v>1.0</v>
      </c>
      <c r="AG98" s="6">
        <v>0.0</v>
      </c>
      <c r="AH98" s="6">
        <v>1.0</v>
      </c>
      <c r="AI98" s="12">
        <v>2.0</v>
      </c>
      <c r="AJ98" s="6">
        <v>3.0</v>
      </c>
      <c r="AK98" s="6">
        <v>0.0</v>
      </c>
      <c r="AL98" s="12">
        <v>2.0</v>
      </c>
      <c r="AM98" s="6">
        <v>1.0</v>
      </c>
      <c r="AN98" s="6">
        <v>2.0</v>
      </c>
      <c r="AO98" s="12">
        <v>1.0</v>
      </c>
      <c r="AP98" s="6">
        <v>0.0</v>
      </c>
      <c r="AR98" s="6">
        <f t="shared" si="19"/>
        <v>0.6958523739</v>
      </c>
      <c r="AT98" s="6">
        <f t="shared" si="20"/>
        <v>16</v>
      </c>
      <c r="AU98" s="6"/>
      <c r="AV98" s="6"/>
      <c r="AX98" s="6">
        <f t="shared" si="21"/>
        <v>23</v>
      </c>
      <c r="AY98" s="6"/>
      <c r="AZ98" s="6"/>
    </row>
    <row r="99">
      <c r="B99" s="8" t="s">
        <v>24</v>
      </c>
      <c r="C99" s="12">
        <v>1.0</v>
      </c>
      <c r="D99" s="12">
        <v>1.0</v>
      </c>
      <c r="E99" s="6">
        <v>1.0</v>
      </c>
      <c r="F99" s="6">
        <v>0.0</v>
      </c>
      <c r="G99" s="12">
        <v>1.0</v>
      </c>
      <c r="H99" s="6">
        <v>0.0</v>
      </c>
      <c r="I99" s="6">
        <v>0.0</v>
      </c>
      <c r="J99" s="12">
        <v>1.0</v>
      </c>
      <c r="K99" s="6">
        <v>0.0</v>
      </c>
      <c r="L99" s="12">
        <v>1.0</v>
      </c>
      <c r="M99" s="12">
        <v>1.0</v>
      </c>
      <c r="N99" s="6">
        <v>1.0</v>
      </c>
      <c r="O99" s="6">
        <v>0.0</v>
      </c>
      <c r="P99" s="6">
        <v>0.0</v>
      </c>
      <c r="Q99" s="12">
        <v>1.0</v>
      </c>
      <c r="R99" s="12">
        <v>1.0</v>
      </c>
      <c r="S99" s="6">
        <v>0.0</v>
      </c>
      <c r="T99" s="6">
        <v>0.0</v>
      </c>
      <c r="U99" s="12">
        <v>1.0</v>
      </c>
      <c r="V99" s="23">
        <v>0.0</v>
      </c>
      <c r="W99" s="12">
        <v>0.0</v>
      </c>
      <c r="X99" s="6">
        <v>1.0</v>
      </c>
      <c r="Y99" s="6">
        <v>2.0</v>
      </c>
      <c r="Z99" s="6">
        <v>0.0</v>
      </c>
      <c r="AA99" s="6">
        <v>1.0</v>
      </c>
      <c r="AB99" s="12">
        <v>1.0</v>
      </c>
      <c r="AC99" s="12">
        <v>1.0</v>
      </c>
      <c r="AD99" s="6">
        <v>1.0</v>
      </c>
      <c r="AE99" s="6">
        <v>1.0</v>
      </c>
      <c r="AF99" s="12">
        <v>0.0</v>
      </c>
      <c r="AG99" s="6">
        <v>0.0</v>
      </c>
      <c r="AH99" s="6">
        <v>0.0</v>
      </c>
      <c r="AI99" s="12">
        <v>0.0</v>
      </c>
      <c r="AJ99" s="6">
        <v>3.0</v>
      </c>
      <c r="AK99" s="6">
        <v>0.0</v>
      </c>
      <c r="AL99" s="12">
        <v>1.0</v>
      </c>
      <c r="AM99" s="6">
        <v>0.0</v>
      </c>
      <c r="AN99" s="6">
        <v>0.0</v>
      </c>
      <c r="AO99" s="12">
        <v>0.0</v>
      </c>
      <c r="AP99" s="6">
        <v>0.0</v>
      </c>
      <c r="AR99" s="6">
        <f t="shared" si="19"/>
        <v>0.5104177855</v>
      </c>
      <c r="AT99" s="6">
        <f t="shared" si="20"/>
        <v>11</v>
      </c>
      <c r="AU99" s="6"/>
      <c r="AV99" s="6"/>
      <c r="AX99" s="6">
        <f t="shared" si="21"/>
        <v>12</v>
      </c>
      <c r="AY99" s="6"/>
      <c r="AZ99" s="6"/>
    </row>
    <row r="100">
      <c r="B100" s="8" t="s">
        <v>25</v>
      </c>
      <c r="C100" s="12">
        <v>1.0</v>
      </c>
      <c r="D100" s="12">
        <v>1.0</v>
      </c>
      <c r="E100" s="6">
        <v>0.0</v>
      </c>
      <c r="F100" s="6">
        <v>0.0</v>
      </c>
      <c r="G100" s="12">
        <v>2.0</v>
      </c>
      <c r="H100" s="6">
        <v>0.0</v>
      </c>
      <c r="I100" s="6">
        <v>1.0</v>
      </c>
      <c r="J100" s="12">
        <v>1.0</v>
      </c>
      <c r="K100" s="6">
        <v>0.0</v>
      </c>
      <c r="L100" s="12">
        <v>0.0</v>
      </c>
      <c r="M100" s="12">
        <v>1.0</v>
      </c>
      <c r="N100" s="6">
        <v>0.0</v>
      </c>
      <c r="O100" s="6">
        <v>0.0</v>
      </c>
      <c r="P100" s="6">
        <v>0.0</v>
      </c>
      <c r="Q100" s="12">
        <v>1.0</v>
      </c>
      <c r="R100" s="12">
        <v>1.0</v>
      </c>
      <c r="S100" s="6">
        <v>0.0</v>
      </c>
      <c r="T100" s="6">
        <v>0.0</v>
      </c>
      <c r="U100" s="12">
        <v>0.0</v>
      </c>
      <c r="V100" s="23">
        <v>0.0</v>
      </c>
      <c r="W100" s="12">
        <v>1.0</v>
      </c>
      <c r="X100" s="6">
        <v>1.0</v>
      </c>
      <c r="Y100" s="6">
        <v>2.0</v>
      </c>
      <c r="Z100" s="6">
        <v>0.0</v>
      </c>
      <c r="AA100" s="6">
        <v>0.0</v>
      </c>
      <c r="AB100" s="12">
        <v>2.0</v>
      </c>
      <c r="AC100" s="12">
        <v>2.0</v>
      </c>
      <c r="AD100" s="6">
        <v>0.0</v>
      </c>
      <c r="AE100" s="6">
        <v>0.0</v>
      </c>
      <c r="AF100" s="12">
        <v>1.0</v>
      </c>
      <c r="AG100" s="6">
        <v>0.0</v>
      </c>
      <c r="AH100" s="6">
        <v>1.0</v>
      </c>
      <c r="AI100" s="12">
        <v>0.0</v>
      </c>
      <c r="AJ100" s="6">
        <v>3.0</v>
      </c>
      <c r="AK100" s="6">
        <v>0.0</v>
      </c>
      <c r="AL100" s="12">
        <v>1.0</v>
      </c>
      <c r="AM100" s="6">
        <v>0.0</v>
      </c>
      <c r="AN100" s="6">
        <v>1.0</v>
      </c>
      <c r="AO100" s="12">
        <v>2.0</v>
      </c>
      <c r="AP100" s="6">
        <v>0.0</v>
      </c>
      <c r="AR100" s="6">
        <f t="shared" si="19"/>
        <v>0.6048053188</v>
      </c>
      <c r="AT100" s="6">
        <f t="shared" si="20"/>
        <v>9</v>
      </c>
      <c r="AU100" s="6"/>
      <c r="AV100" s="6"/>
      <c r="AX100" s="6">
        <f t="shared" si="21"/>
        <v>17</v>
      </c>
      <c r="AY100" s="6"/>
      <c r="AZ100" s="6"/>
    </row>
    <row r="101">
      <c r="B101" s="8" t="s">
        <v>26</v>
      </c>
      <c r="C101" s="12">
        <v>0.0</v>
      </c>
      <c r="D101" s="12">
        <v>0.0</v>
      </c>
      <c r="E101" s="6">
        <v>0.0</v>
      </c>
      <c r="F101" s="6">
        <v>0.0</v>
      </c>
      <c r="G101" s="12">
        <v>1.0</v>
      </c>
      <c r="H101" s="6">
        <v>0.0</v>
      </c>
      <c r="I101" s="6">
        <v>0.0</v>
      </c>
      <c r="J101" s="12">
        <v>1.0</v>
      </c>
      <c r="K101" s="6">
        <v>0.0</v>
      </c>
      <c r="L101" s="12">
        <v>0.0</v>
      </c>
      <c r="M101" s="12">
        <v>0.0</v>
      </c>
      <c r="N101" s="6">
        <v>1.0</v>
      </c>
      <c r="O101" s="6">
        <v>0.0</v>
      </c>
      <c r="P101" s="6">
        <v>0.0</v>
      </c>
      <c r="Q101" s="12">
        <v>0.0</v>
      </c>
      <c r="R101" s="12">
        <v>1.0</v>
      </c>
      <c r="S101" s="6">
        <v>0.0</v>
      </c>
      <c r="T101" s="6">
        <v>0.0</v>
      </c>
      <c r="U101" s="12">
        <v>1.0</v>
      </c>
      <c r="V101" s="23">
        <v>1.0</v>
      </c>
      <c r="W101" s="12">
        <v>0.0</v>
      </c>
      <c r="X101" s="6">
        <v>1.0</v>
      </c>
      <c r="Y101" s="6">
        <v>2.0</v>
      </c>
      <c r="Z101" s="6">
        <v>0.0</v>
      </c>
      <c r="AA101" s="6">
        <v>1.0</v>
      </c>
      <c r="AB101" s="12">
        <v>2.0</v>
      </c>
      <c r="AC101" s="12">
        <v>2.0</v>
      </c>
      <c r="AD101" s="6">
        <v>0.0</v>
      </c>
      <c r="AE101" s="6">
        <v>1.0</v>
      </c>
      <c r="AF101" s="12">
        <v>1.0</v>
      </c>
      <c r="AG101" s="6">
        <v>1.0</v>
      </c>
      <c r="AH101" s="6">
        <v>0.0</v>
      </c>
      <c r="AI101" s="12">
        <v>0.0</v>
      </c>
      <c r="AJ101" s="6">
        <v>1.0</v>
      </c>
      <c r="AK101" s="6">
        <v>1.0</v>
      </c>
      <c r="AL101" s="12">
        <v>1.0</v>
      </c>
      <c r="AM101" s="6">
        <v>1.0</v>
      </c>
      <c r="AN101" s="6">
        <v>1.0</v>
      </c>
      <c r="AO101" s="12">
        <v>1.0</v>
      </c>
      <c r="AP101" s="6">
        <v>1.0</v>
      </c>
      <c r="AR101" s="6">
        <f t="shared" si="19"/>
        <v>0.470162346</v>
      </c>
      <c r="AT101" s="6">
        <f t="shared" si="20"/>
        <v>6</v>
      </c>
      <c r="AU101" s="6"/>
      <c r="AV101" s="6"/>
      <c r="AX101" s="6">
        <f t="shared" si="21"/>
        <v>18</v>
      </c>
      <c r="AY101" s="6"/>
      <c r="AZ101" s="6"/>
    </row>
    <row r="102">
      <c r="B102" s="9" t="s">
        <v>27</v>
      </c>
      <c r="C102" s="12">
        <v>0.0</v>
      </c>
      <c r="D102" s="12">
        <v>0.0</v>
      </c>
      <c r="E102" s="6">
        <v>1.0</v>
      </c>
      <c r="F102" s="6">
        <v>0.0</v>
      </c>
      <c r="G102" s="12">
        <v>0.0</v>
      </c>
      <c r="H102" s="6">
        <v>0.0</v>
      </c>
      <c r="I102" s="6">
        <v>0.0</v>
      </c>
      <c r="J102" s="12">
        <v>0.0</v>
      </c>
      <c r="K102" s="6">
        <v>0.0</v>
      </c>
      <c r="L102" s="12">
        <v>0.0</v>
      </c>
      <c r="M102" s="12">
        <v>0.0</v>
      </c>
      <c r="N102" s="6">
        <v>1.0</v>
      </c>
      <c r="O102" s="6">
        <v>0.0</v>
      </c>
      <c r="P102" s="6">
        <v>0.0</v>
      </c>
      <c r="Q102" s="12">
        <v>0.0</v>
      </c>
      <c r="R102" s="12">
        <v>0.0</v>
      </c>
      <c r="S102" s="6">
        <v>0.0</v>
      </c>
      <c r="T102" s="6">
        <v>0.0</v>
      </c>
      <c r="U102" s="12">
        <v>0.0</v>
      </c>
      <c r="V102" s="23">
        <v>0.0</v>
      </c>
      <c r="W102" s="12">
        <v>0.0</v>
      </c>
      <c r="X102" s="6">
        <v>1.0</v>
      </c>
      <c r="Y102" s="6">
        <v>2.0</v>
      </c>
      <c r="Z102" s="6">
        <v>0.0</v>
      </c>
      <c r="AA102" s="6">
        <v>1.0</v>
      </c>
      <c r="AB102" s="12">
        <v>2.0</v>
      </c>
      <c r="AC102" s="12">
        <v>0.0</v>
      </c>
      <c r="AD102" s="6">
        <v>0.0</v>
      </c>
      <c r="AE102" s="6">
        <v>0.0</v>
      </c>
      <c r="AF102" s="12">
        <v>0.0</v>
      </c>
      <c r="AG102" s="6">
        <v>1.0</v>
      </c>
      <c r="AH102" s="6">
        <v>1.0</v>
      </c>
      <c r="AI102" s="12">
        <v>1.0</v>
      </c>
      <c r="AJ102" s="6">
        <v>1.0</v>
      </c>
      <c r="AK102" s="6">
        <v>1.0</v>
      </c>
      <c r="AL102" s="12">
        <v>1.0</v>
      </c>
      <c r="AM102" s="6">
        <v>0.0</v>
      </c>
      <c r="AN102" s="6">
        <v>0.0</v>
      </c>
      <c r="AO102" s="12">
        <v>1.0</v>
      </c>
      <c r="AP102" s="6">
        <v>0.0</v>
      </c>
      <c r="AR102" s="6">
        <f t="shared" si="19"/>
        <v>0.3077935056</v>
      </c>
      <c r="AT102" s="6">
        <f t="shared" si="20"/>
        <v>2</v>
      </c>
      <c r="AU102" s="6"/>
      <c r="AV102" s="6"/>
      <c r="AX102" s="6">
        <f t="shared" si="21"/>
        <v>13</v>
      </c>
      <c r="AY102" s="6"/>
      <c r="AZ102" s="6"/>
    </row>
    <row r="103">
      <c r="B103" s="9" t="s">
        <v>28</v>
      </c>
      <c r="C103" s="12">
        <v>1.0</v>
      </c>
      <c r="D103" s="12">
        <v>1.0</v>
      </c>
      <c r="E103" s="6">
        <v>0.0</v>
      </c>
      <c r="F103" s="6">
        <v>0.0</v>
      </c>
      <c r="G103" s="12">
        <v>1.0</v>
      </c>
      <c r="H103" s="6">
        <v>0.0</v>
      </c>
      <c r="I103" s="6">
        <v>0.0</v>
      </c>
      <c r="J103" s="12">
        <v>1.0</v>
      </c>
      <c r="K103" s="6">
        <v>1.0</v>
      </c>
      <c r="L103" s="12">
        <v>0.0</v>
      </c>
      <c r="M103" s="12">
        <v>1.0</v>
      </c>
      <c r="N103" s="6">
        <v>0.0</v>
      </c>
      <c r="O103" s="6">
        <v>0.0</v>
      </c>
      <c r="P103" s="6">
        <v>0.0</v>
      </c>
      <c r="Q103" s="12">
        <v>1.0</v>
      </c>
      <c r="R103" s="12">
        <v>0.0</v>
      </c>
      <c r="S103" s="6">
        <v>0.0</v>
      </c>
      <c r="T103" s="6">
        <v>0.0</v>
      </c>
      <c r="U103" s="12">
        <v>1.0</v>
      </c>
      <c r="V103" s="23">
        <v>0.0</v>
      </c>
      <c r="W103" s="12">
        <v>1.0</v>
      </c>
      <c r="X103" s="6">
        <v>1.0</v>
      </c>
      <c r="Y103" s="6">
        <v>2.0</v>
      </c>
      <c r="Z103" s="6">
        <v>1.0</v>
      </c>
      <c r="AA103" s="6">
        <v>1.0</v>
      </c>
      <c r="AB103" s="12">
        <v>3.0</v>
      </c>
      <c r="AC103" s="12">
        <v>2.0</v>
      </c>
      <c r="AD103" s="6">
        <v>1.0</v>
      </c>
      <c r="AE103" s="6">
        <v>1.0</v>
      </c>
      <c r="AF103" s="12">
        <v>1.0</v>
      </c>
      <c r="AG103" s="6">
        <v>1.0</v>
      </c>
      <c r="AH103" s="6">
        <v>2.0</v>
      </c>
      <c r="AI103" s="12">
        <v>2.0</v>
      </c>
      <c r="AJ103" s="6">
        <v>1.0</v>
      </c>
      <c r="AK103" s="6">
        <v>1.0</v>
      </c>
      <c r="AL103" s="12">
        <v>1.0</v>
      </c>
      <c r="AM103" s="6">
        <v>1.0</v>
      </c>
      <c r="AN103" s="6">
        <v>1.0</v>
      </c>
      <c r="AO103" s="12">
        <v>1.0</v>
      </c>
      <c r="AP103" s="6">
        <v>1.0</v>
      </c>
      <c r="AR103" s="6">
        <f t="shared" si="19"/>
        <v>0.50262469</v>
      </c>
      <c r="AT103" s="6">
        <f t="shared" si="20"/>
        <v>8</v>
      </c>
      <c r="AU103" s="6"/>
      <c r="AV103" s="6"/>
      <c r="AX103" s="6">
        <f t="shared" si="21"/>
        <v>26</v>
      </c>
      <c r="AY103" s="6"/>
      <c r="AZ103" s="6"/>
    </row>
    <row r="104">
      <c r="B104" s="8" t="s">
        <v>29</v>
      </c>
      <c r="C104" s="12">
        <v>1.0</v>
      </c>
      <c r="D104" s="12">
        <v>0.0</v>
      </c>
      <c r="E104" s="6">
        <v>1.0</v>
      </c>
      <c r="F104" s="6">
        <v>0.0</v>
      </c>
      <c r="G104" s="12">
        <v>0.0</v>
      </c>
      <c r="H104" s="6">
        <v>0.0</v>
      </c>
      <c r="I104" s="6">
        <v>1.0</v>
      </c>
      <c r="J104" s="12">
        <v>1.0</v>
      </c>
      <c r="K104" s="6">
        <v>0.0</v>
      </c>
      <c r="L104" s="12">
        <v>1.0</v>
      </c>
      <c r="M104" s="12">
        <v>0.0</v>
      </c>
      <c r="N104" s="6">
        <v>1.0</v>
      </c>
      <c r="O104" s="6">
        <v>0.0</v>
      </c>
      <c r="P104" s="6">
        <v>0.0</v>
      </c>
      <c r="Q104" s="12">
        <v>1.0</v>
      </c>
      <c r="R104" s="12">
        <v>0.0</v>
      </c>
      <c r="S104" s="6">
        <v>1.0</v>
      </c>
      <c r="T104" s="6">
        <v>0.0</v>
      </c>
      <c r="U104" s="12">
        <v>1.0</v>
      </c>
      <c r="V104" s="23">
        <v>0.0</v>
      </c>
      <c r="W104" s="12">
        <v>0.0</v>
      </c>
      <c r="X104" s="6">
        <v>1.0</v>
      </c>
      <c r="Y104" s="6">
        <v>3.0</v>
      </c>
      <c r="Z104" s="6">
        <v>0.0</v>
      </c>
      <c r="AA104" s="6">
        <v>2.0</v>
      </c>
      <c r="AB104" s="12">
        <v>1.0</v>
      </c>
      <c r="AC104" s="12">
        <v>1.0</v>
      </c>
      <c r="AD104" s="6">
        <v>1.0</v>
      </c>
      <c r="AE104" s="6">
        <v>0.0</v>
      </c>
      <c r="AF104" s="12">
        <v>1.0</v>
      </c>
      <c r="AG104" s="6">
        <v>1.0</v>
      </c>
      <c r="AH104" s="6">
        <v>1.0</v>
      </c>
      <c r="AI104" s="12">
        <v>0.0</v>
      </c>
      <c r="AJ104" s="6">
        <v>1.0</v>
      </c>
      <c r="AK104" s="6">
        <v>0.0</v>
      </c>
      <c r="AL104" s="12">
        <v>1.0</v>
      </c>
      <c r="AM104" s="6">
        <v>1.0</v>
      </c>
      <c r="AN104" s="6">
        <v>0.0</v>
      </c>
      <c r="AO104" s="12">
        <v>0.0</v>
      </c>
      <c r="AP104" s="6">
        <v>0.0</v>
      </c>
      <c r="AR104" s="6">
        <f t="shared" si="19"/>
        <v>0.5104177855</v>
      </c>
      <c r="AT104" s="6">
        <f t="shared" si="20"/>
        <v>9</v>
      </c>
      <c r="AU104" s="6"/>
      <c r="AV104" s="6"/>
      <c r="AX104" s="6">
        <f t="shared" si="21"/>
        <v>15</v>
      </c>
      <c r="AY104" s="6"/>
      <c r="AZ104" s="6"/>
    </row>
    <row r="105">
      <c r="B105" s="8" t="s">
        <v>30</v>
      </c>
      <c r="C105" s="12">
        <v>1.0</v>
      </c>
      <c r="D105" s="12">
        <v>1.0</v>
      </c>
      <c r="E105" s="6">
        <v>0.0</v>
      </c>
      <c r="F105" s="6">
        <v>0.0</v>
      </c>
      <c r="G105" s="12">
        <v>1.0</v>
      </c>
      <c r="H105" s="6">
        <v>0.0</v>
      </c>
      <c r="I105" s="6">
        <v>0.0</v>
      </c>
      <c r="J105" s="12">
        <v>1.0</v>
      </c>
      <c r="K105" s="6">
        <v>1.0</v>
      </c>
      <c r="L105" s="12">
        <v>1.0</v>
      </c>
      <c r="M105" s="12">
        <v>1.0</v>
      </c>
      <c r="N105" s="6">
        <v>0.0</v>
      </c>
      <c r="O105" s="6">
        <v>0.0</v>
      </c>
      <c r="P105" s="6">
        <v>1.0</v>
      </c>
      <c r="Q105" s="12">
        <v>1.0</v>
      </c>
      <c r="R105" s="12">
        <v>1.0</v>
      </c>
      <c r="S105" s="6">
        <v>0.0</v>
      </c>
      <c r="T105" s="6">
        <v>0.0</v>
      </c>
      <c r="U105" s="12">
        <v>2.0</v>
      </c>
      <c r="V105" s="23">
        <v>1.0</v>
      </c>
      <c r="W105" s="12">
        <v>1.0</v>
      </c>
      <c r="X105" s="6">
        <v>1.0</v>
      </c>
      <c r="Y105" s="6">
        <v>2.0</v>
      </c>
      <c r="Z105" s="6">
        <v>1.0</v>
      </c>
      <c r="AA105" s="6">
        <v>1.0</v>
      </c>
      <c r="AB105" s="12">
        <v>1.0</v>
      </c>
      <c r="AC105" s="12">
        <v>1.0</v>
      </c>
      <c r="AD105" s="6">
        <v>2.0</v>
      </c>
      <c r="AE105" s="6">
        <v>1.0</v>
      </c>
      <c r="AF105" s="12">
        <v>1.0</v>
      </c>
      <c r="AG105" s="6">
        <v>1.0</v>
      </c>
      <c r="AH105" s="6">
        <v>1.0</v>
      </c>
      <c r="AI105" s="12">
        <v>2.0</v>
      </c>
      <c r="AJ105" s="6">
        <v>1.0</v>
      </c>
      <c r="AK105" s="6">
        <v>1.0</v>
      </c>
      <c r="AL105" s="12">
        <v>2.0</v>
      </c>
      <c r="AM105" s="6">
        <v>1.0</v>
      </c>
      <c r="AN105" s="6">
        <v>0.0</v>
      </c>
      <c r="AO105" s="12">
        <v>0.0</v>
      </c>
      <c r="AP105" s="6">
        <v>0.0</v>
      </c>
      <c r="AR105" s="6">
        <f t="shared" si="19"/>
        <v>0.5871429486</v>
      </c>
      <c r="AT105" s="6">
        <f t="shared" si="20"/>
        <v>13</v>
      </c>
      <c r="AU105" s="6"/>
      <c r="AV105" s="6"/>
      <c r="AX105" s="6">
        <f t="shared" si="21"/>
        <v>21</v>
      </c>
      <c r="AY105" s="6"/>
      <c r="AZ105" s="6"/>
    </row>
    <row r="106">
      <c r="B106" s="8" t="s">
        <v>31</v>
      </c>
      <c r="C106" s="12">
        <v>2.0</v>
      </c>
      <c r="D106" s="12">
        <v>2.0</v>
      </c>
      <c r="E106" s="6">
        <v>1.0</v>
      </c>
      <c r="F106" s="6">
        <v>0.0</v>
      </c>
      <c r="G106" s="12">
        <v>2.0</v>
      </c>
      <c r="H106" s="6">
        <v>0.0</v>
      </c>
      <c r="I106" s="6">
        <v>2.0</v>
      </c>
      <c r="J106" s="12">
        <v>2.0</v>
      </c>
      <c r="K106" s="6">
        <v>1.0</v>
      </c>
      <c r="L106" s="12">
        <v>2.0</v>
      </c>
      <c r="M106" s="12">
        <v>2.0</v>
      </c>
      <c r="N106" s="6">
        <v>2.0</v>
      </c>
      <c r="O106" s="6">
        <v>1.0</v>
      </c>
      <c r="P106" s="6">
        <v>2.0</v>
      </c>
      <c r="Q106" s="12">
        <v>2.0</v>
      </c>
      <c r="R106" s="12">
        <v>2.0</v>
      </c>
      <c r="S106" s="6">
        <v>2.0</v>
      </c>
      <c r="T106" s="6">
        <v>0.0</v>
      </c>
      <c r="U106" s="12">
        <v>2.0</v>
      </c>
      <c r="V106" s="23">
        <v>2.0</v>
      </c>
      <c r="W106" s="12">
        <v>1.0</v>
      </c>
      <c r="X106" s="6">
        <v>2.0</v>
      </c>
      <c r="Y106" s="6">
        <v>2.0</v>
      </c>
      <c r="Z106" s="6">
        <v>0.0</v>
      </c>
      <c r="AA106" s="6">
        <v>2.0</v>
      </c>
      <c r="AB106" s="12">
        <v>3.0</v>
      </c>
      <c r="AC106" s="12">
        <v>1.0</v>
      </c>
      <c r="AD106" s="6">
        <v>2.0</v>
      </c>
      <c r="AE106" s="6">
        <v>2.0</v>
      </c>
      <c r="AF106" s="12">
        <v>1.0</v>
      </c>
      <c r="AG106" s="6">
        <v>1.0</v>
      </c>
      <c r="AH106" s="6">
        <v>0.0</v>
      </c>
      <c r="AI106" s="12">
        <v>1.0</v>
      </c>
      <c r="AJ106" s="6">
        <v>1.0</v>
      </c>
      <c r="AK106" s="6">
        <v>2.0</v>
      </c>
      <c r="AL106" s="12">
        <v>2.0</v>
      </c>
      <c r="AM106" s="6">
        <v>2.0</v>
      </c>
      <c r="AN106" s="6">
        <v>2.0</v>
      </c>
      <c r="AO106" s="12">
        <v>1.0</v>
      </c>
      <c r="AP106" s="6">
        <v>2.0</v>
      </c>
      <c r="AR106" s="6">
        <f t="shared" si="19"/>
        <v>0.7591546545</v>
      </c>
      <c r="AT106" s="6">
        <f t="shared" si="20"/>
        <v>31</v>
      </c>
      <c r="AU106" s="6"/>
      <c r="AV106" s="6"/>
      <c r="AX106" s="6">
        <f t="shared" si="21"/>
        <v>30</v>
      </c>
      <c r="AY106" s="6"/>
      <c r="AZ106" s="6"/>
    </row>
    <row r="107">
      <c r="B107" s="8" t="s">
        <v>32</v>
      </c>
      <c r="C107" s="12">
        <v>0.0</v>
      </c>
      <c r="D107" s="12">
        <v>0.0</v>
      </c>
      <c r="E107" s="6">
        <v>0.0</v>
      </c>
      <c r="F107" s="6">
        <v>0.0</v>
      </c>
      <c r="G107" s="12">
        <v>1.0</v>
      </c>
      <c r="H107" s="6">
        <v>0.0</v>
      </c>
      <c r="I107" s="6">
        <v>1.0</v>
      </c>
      <c r="J107" s="12">
        <v>2.0</v>
      </c>
      <c r="K107" s="6">
        <v>1.0</v>
      </c>
      <c r="L107" s="12">
        <v>1.0</v>
      </c>
      <c r="M107" s="12">
        <v>1.0</v>
      </c>
      <c r="N107" s="6">
        <v>1.0</v>
      </c>
      <c r="O107" s="6">
        <v>0.0</v>
      </c>
      <c r="P107" s="6">
        <v>0.0</v>
      </c>
      <c r="Q107" s="12">
        <v>0.0</v>
      </c>
      <c r="R107" s="12">
        <v>1.0</v>
      </c>
      <c r="S107" s="6">
        <v>1.0</v>
      </c>
      <c r="T107" s="6">
        <v>0.0</v>
      </c>
      <c r="U107" s="12">
        <v>1.0</v>
      </c>
      <c r="V107" s="23">
        <v>1.0</v>
      </c>
      <c r="W107" s="12">
        <v>1.0</v>
      </c>
      <c r="X107" s="6">
        <v>1.0</v>
      </c>
      <c r="Y107" s="6">
        <v>3.0</v>
      </c>
      <c r="Z107" s="6">
        <v>1.0</v>
      </c>
      <c r="AA107" s="6">
        <v>1.0</v>
      </c>
      <c r="AB107" s="12">
        <v>1.0</v>
      </c>
      <c r="AC107" s="12">
        <v>0.0</v>
      </c>
      <c r="AD107" s="6">
        <v>1.0</v>
      </c>
      <c r="AE107" s="6">
        <v>0.0</v>
      </c>
      <c r="AF107" s="12">
        <v>1.0</v>
      </c>
      <c r="AG107" s="6">
        <v>1.0</v>
      </c>
      <c r="AH107" s="6">
        <v>2.0</v>
      </c>
      <c r="AI107" s="12">
        <v>0.0</v>
      </c>
      <c r="AJ107" s="6">
        <v>3.0</v>
      </c>
      <c r="AK107" s="6">
        <v>1.0</v>
      </c>
      <c r="AL107" s="12">
        <v>1.0</v>
      </c>
      <c r="AM107" s="6">
        <v>0.0</v>
      </c>
      <c r="AN107" s="6">
        <v>2.0</v>
      </c>
      <c r="AO107" s="12">
        <v>1.0</v>
      </c>
      <c r="AP107" s="6">
        <v>0.0</v>
      </c>
      <c r="AR107" s="6">
        <f t="shared" si="19"/>
        <v>0.5982430416</v>
      </c>
      <c r="AT107" s="6">
        <f t="shared" si="20"/>
        <v>12</v>
      </c>
      <c r="AU107" s="6"/>
      <c r="AV107" s="6"/>
      <c r="AX107" s="6">
        <f t="shared" si="21"/>
        <v>21</v>
      </c>
      <c r="AY107" s="6"/>
      <c r="AZ107" s="6"/>
    </row>
    <row r="108">
      <c r="B108" s="8" t="s">
        <v>33</v>
      </c>
      <c r="C108" s="12">
        <v>1.0</v>
      </c>
      <c r="D108" s="12">
        <v>0.0</v>
      </c>
      <c r="E108" s="6">
        <v>0.0</v>
      </c>
      <c r="F108" s="6">
        <v>0.0</v>
      </c>
      <c r="G108" s="12">
        <v>2.0</v>
      </c>
      <c r="H108" s="6">
        <v>1.0</v>
      </c>
      <c r="I108" s="6">
        <v>0.0</v>
      </c>
      <c r="J108" s="12">
        <v>1.0</v>
      </c>
      <c r="K108" s="6">
        <v>0.0</v>
      </c>
      <c r="L108" s="12">
        <v>0.0</v>
      </c>
      <c r="M108" s="12">
        <v>0.0</v>
      </c>
      <c r="N108" s="6">
        <v>1.0</v>
      </c>
      <c r="O108" s="6">
        <v>0.0</v>
      </c>
      <c r="P108" s="6">
        <v>1.0</v>
      </c>
      <c r="Q108" s="12">
        <v>1.0</v>
      </c>
      <c r="R108" s="12">
        <v>1.0</v>
      </c>
      <c r="S108" s="6">
        <v>0.0</v>
      </c>
      <c r="T108" s="6">
        <v>0.0</v>
      </c>
      <c r="U108" s="12">
        <v>1.0</v>
      </c>
      <c r="V108" s="23">
        <v>1.0</v>
      </c>
      <c r="W108" s="12">
        <v>1.0</v>
      </c>
      <c r="X108" s="6">
        <v>0.0</v>
      </c>
      <c r="Y108" s="6">
        <v>2.0</v>
      </c>
      <c r="Z108" s="6">
        <v>1.0</v>
      </c>
      <c r="AA108" s="6">
        <v>1.0</v>
      </c>
      <c r="AB108" s="12">
        <v>2.0</v>
      </c>
      <c r="AC108" s="12">
        <v>1.0</v>
      </c>
      <c r="AD108" s="6">
        <v>1.0</v>
      </c>
      <c r="AE108" s="6">
        <v>1.0</v>
      </c>
      <c r="AF108" s="12">
        <v>2.0</v>
      </c>
      <c r="AG108" s="6">
        <v>1.0</v>
      </c>
      <c r="AH108" s="6">
        <v>1.0</v>
      </c>
      <c r="AI108" s="12">
        <v>1.0</v>
      </c>
      <c r="AJ108" s="6">
        <v>0.0</v>
      </c>
      <c r="AK108" s="6">
        <v>1.0</v>
      </c>
      <c r="AL108" s="12">
        <v>2.0</v>
      </c>
      <c r="AM108" s="6">
        <v>1.0</v>
      </c>
      <c r="AN108" s="6">
        <v>1.0</v>
      </c>
      <c r="AO108" s="12">
        <v>1.0</v>
      </c>
      <c r="AP108" s="6">
        <v>0.0</v>
      </c>
      <c r="AR108" s="6">
        <f t="shared" si="19"/>
        <v>0.6048053188</v>
      </c>
      <c r="AT108" s="6">
        <f t="shared" si="20"/>
        <v>11</v>
      </c>
      <c r="AU108" s="6"/>
      <c r="AV108" s="6"/>
      <c r="AX108" s="6">
        <f t="shared" si="21"/>
        <v>21</v>
      </c>
      <c r="AY108" s="6"/>
      <c r="AZ108" s="6"/>
    </row>
    <row r="109">
      <c r="B109" s="8" t="s">
        <v>34</v>
      </c>
      <c r="C109" s="12">
        <v>1.0</v>
      </c>
      <c r="D109" s="12">
        <v>1.0</v>
      </c>
      <c r="E109" s="6">
        <v>1.0</v>
      </c>
      <c r="F109" s="6">
        <v>1.0</v>
      </c>
      <c r="G109" s="12">
        <v>2.0</v>
      </c>
      <c r="H109" s="6">
        <v>1.0</v>
      </c>
      <c r="I109" s="6">
        <v>2.0</v>
      </c>
      <c r="J109" s="12">
        <v>1.0</v>
      </c>
      <c r="K109" s="6">
        <v>0.0</v>
      </c>
      <c r="L109" s="12">
        <v>1.0</v>
      </c>
      <c r="M109" s="12">
        <v>1.0</v>
      </c>
      <c r="N109" s="6">
        <v>1.0</v>
      </c>
      <c r="O109" s="6">
        <v>0.0</v>
      </c>
      <c r="P109" s="6">
        <v>0.0</v>
      </c>
      <c r="Q109" s="12">
        <v>0.0</v>
      </c>
      <c r="R109" s="12">
        <v>0.0</v>
      </c>
      <c r="S109" s="6">
        <v>1.0</v>
      </c>
      <c r="T109" s="6">
        <v>0.0</v>
      </c>
      <c r="U109" s="12">
        <v>1.0</v>
      </c>
      <c r="V109" s="23">
        <v>0.0</v>
      </c>
      <c r="W109" s="12">
        <v>0.0</v>
      </c>
      <c r="X109" s="6">
        <v>1.0</v>
      </c>
      <c r="Y109" s="6">
        <v>2.0</v>
      </c>
      <c r="Z109" s="6">
        <v>0.0</v>
      </c>
      <c r="AA109" s="6">
        <v>1.0</v>
      </c>
      <c r="AB109" s="12">
        <v>2.0</v>
      </c>
      <c r="AC109" s="12">
        <v>2.0</v>
      </c>
      <c r="AD109" s="6">
        <v>0.0</v>
      </c>
      <c r="AE109" s="6">
        <v>0.0</v>
      </c>
      <c r="AF109" s="12">
        <v>0.0</v>
      </c>
      <c r="AG109" s="6">
        <v>2.0</v>
      </c>
      <c r="AH109" s="6">
        <v>1.0</v>
      </c>
      <c r="AI109" s="12">
        <v>1.0</v>
      </c>
      <c r="AJ109" s="6">
        <v>3.0</v>
      </c>
      <c r="AK109" s="6">
        <v>0.0</v>
      </c>
      <c r="AL109" s="12">
        <v>1.0</v>
      </c>
      <c r="AM109" s="6">
        <v>0.0</v>
      </c>
      <c r="AN109" s="6">
        <v>1.0</v>
      </c>
      <c r="AO109" s="12">
        <v>0.0</v>
      </c>
      <c r="AP109" s="6">
        <v>0.0</v>
      </c>
      <c r="AR109" s="6">
        <f t="shared" si="19"/>
        <v>0.6386663737</v>
      </c>
      <c r="AT109" s="6">
        <f t="shared" si="20"/>
        <v>15</v>
      </c>
      <c r="AU109" s="6"/>
      <c r="AV109" s="6"/>
      <c r="AX109" s="6">
        <f t="shared" si="21"/>
        <v>17</v>
      </c>
      <c r="AY109" s="6"/>
      <c r="AZ109" s="6"/>
    </row>
    <row r="110">
      <c r="B110" s="8" t="s">
        <v>35</v>
      </c>
      <c r="C110" s="12">
        <v>0.0</v>
      </c>
      <c r="D110" s="12">
        <v>0.0</v>
      </c>
      <c r="E110" s="6">
        <v>0.0</v>
      </c>
      <c r="F110" s="6">
        <v>0.0</v>
      </c>
      <c r="G110" s="12">
        <v>0.0</v>
      </c>
      <c r="H110" s="6">
        <v>0.0</v>
      </c>
      <c r="I110" s="6">
        <v>0.0</v>
      </c>
      <c r="J110" s="12">
        <v>0.0</v>
      </c>
      <c r="K110" s="6">
        <v>0.0</v>
      </c>
      <c r="L110" s="12">
        <v>0.0</v>
      </c>
      <c r="M110" s="12">
        <v>0.0</v>
      </c>
      <c r="N110" s="6">
        <v>0.0</v>
      </c>
      <c r="O110" s="6">
        <v>0.0</v>
      </c>
      <c r="P110" s="6">
        <v>0.0</v>
      </c>
      <c r="Q110" s="12">
        <v>0.0</v>
      </c>
      <c r="R110" s="12">
        <v>0.0</v>
      </c>
      <c r="S110" s="6">
        <v>0.0</v>
      </c>
      <c r="T110" s="6">
        <v>0.0</v>
      </c>
      <c r="U110" s="12">
        <v>0.0</v>
      </c>
      <c r="V110" s="23">
        <v>0.0</v>
      </c>
      <c r="W110" s="12">
        <v>0.0</v>
      </c>
      <c r="X110" s="6">
        <v>1.0</v>
      </c>
      <c r="Y110" s="6">
        <v>2.0</v>
      </c>
      <c r="Z110" s="6">
        <v>0.0</v>
      </c>
      <c r="AA110" s="6">
        <v>1.0</v>
      </c>
      <c r="AB110" s="12">
        <v>0.0</v>
      </c>
      <c r="AC110" s="12">
        <v>0.0</v>
      </c>
      <c r="AD110" s="6">
        <v>0.0</v>
      </c>
      <c r="AE110" s="6">
        <v>0.0</v>
      </c>
      <c r="AF110" s="12">
        <v>0.0</v>
      </c>
      <c r="AG110" s="6">
        <v>0.0</v>
      </c>
      <c r="AH110" s="6">
        <v>1.0</v>
      </c>
      <c r="AI110" s="12">
        <v>0.0</v>
      </c>
      <c r="AJ110" s="6">
        <v>0.0</v>
      </c>
      <c r="AK110" s="6">
        <v>1.0</v>
      </c>
      <c r="AL110" s="12">
        <v>0.0</v>
      </c>
      <c r="AM110" s="6">
        <v>2.0</v>
      </c>
      <c r="AN110" s="6">
        <v>0.0</v>
      </c>
      <c r="AO110" s="12">
        <v>0.0</v>
      </c>
      <c r="AP110" s="6">
        <v>0.0</v>
      </c>
      <c r="AR110" s="6">
        <f t="shared" si="19"/>
        <v>0</v>
      </c>
      <c r="AT110" s="6">
        <f t="shared" si="20"/>
        <v>0</v>
      </c>
      <c r="AU110" s="6"/>
      <c r="AV110" s="6"/>
      <c r="AX110" s="6">
        <f t="shared" si="21"/>
        <v>8</v>
      </c>
      <c r="AY110" s="6"/>
      <c r="AZ110" s="6"/>
    </row>
    <row r="111">
      <c r="B111" s="8" t="s">
        <v>36</v>
      </c>
      <c r="C111" s="12">
        <v>0.0</v>
      </c>
      <c r="D111" s="12">
        <v>0.0</v>
      </c>
      <c r="E111" s="6">
        <v>0.0</v>
      </c>
      <c r="F111" s="6">
        <v>0.0</v>
      </c>
      <c r="G111" s="12">
        <v>0.0</v>
      </c>
      <c r="H111" s="6">
        <v>0.0</v>
      </c>
      <c r="I111" s="6">
        <v>0.0</v>
      </c>
      <c r="J111" s="12">
        <v>2.0</v>
      </c>
      <c r="K111" s="6">
        <v>0.0</v>
      </c>
      <c r="L111" s="12">
        <v>0.0</v>
      </c>
      <c r="M111" s="12">
        <v>0.0</v>
      </c>
      <c r="N111" s="6">
        <v>0.0</v>
      </c>
      <c r="O111" s="6">
        <v>0.0</v>
      </c>
      <c r="P111" s="6">
        <v>0.0</v>
      </c>
      <c r="Q111" s="12">
        <v>0.0</v>
      </c>
      <c r="R111" s="12">
        <v>0.0</v>
      </c>
      <c r="S111" s="6">
        <v>0.0</v>
      </c>
      <c r="T111" s="6">
        <v>3.0</v>
      </c>
      <c r="U111" s="12">
        <v>1.0</v>
      </c>
      <c r="V111" s="23">
        <v>0.0</v>
      </c>
      <c r="W111" s="12">
        <v>1.0</v>
      </c>
      <c r="X111" s="6">
        <v>0.0</v>
      </c>
      <c r="Y111" s="6">
        <v>1.0</v>
      </c>
      <c r="Z111" s="6">
        <v>1.0</v>
      </c>
      <c r="AA111" s="6">
        <v>2.0</v>
      </c>
      <c r="AB111" s="12">
        <v>2.0</v>
      </c>
      <c r="AC111" s="12">
        <v>2.0</v>
      </c>
      <c r="AD111" s="6">
        <v>0.0</v>
      </c>
      <c r="AE111" s="6">
        <v>0.0</v>
      </c>
      <c r="AF111" s="12">
        <v>1.0</v>
      </c>
      <c r="AG111" s="6">
        <v>1.0</v>
      </c>
      <c r="AH111" s="6">
        <v>3.0</v>
      </c>
      <c r="AI111" s="12">
        <v>2.0</v>
      </c>
      <c r="AJ111" s="6">
        <v>2.0</v>
      </c>
      <c r="AK111" s="6">
        <v>0.0</v>
      </c>
      <c r="AL111" s="12">
        <v>2.0</v>
      </c>
      <c r="AM111" s="6">
        <v>1.0</v>
      </c>
      <c r="AN111" s="6">
        <v>0.0</v>
      </c>
      <c r="AO111" s="12">
        <v>1.0</v>
      </c>
      <c r="AP111" s="6">
        <v>0.0</v>
      </c>
      <c r="AR111" s="6">
        <f t="shared" si="19"/>
        <v>0.8013147092</v>
      </c>
      <c r="AT111" s="6">
        <f t="shared" si="20"/>
        <v>6</v>
      </c>
      <c r="AU111" s="6"/>
      <c r="AV111" s="6"/>
      <c r="AX111" s="6">
        <f t="shared" si="21"/>
        <v>22</v>
      </c>
      <c r="AY111" s="6"/>
      <c r="AZ111" s="6"/>
    </row>
    <row r="113">
      <c r="B113" s="2" t="s">
        <v>127</v>
      </c>
      <c r="C113" s="3">
        <v>1.0</v>
      </c>
      <c r="D113" s="3">
        <v>2.0</v>
      </c>
      <c r="E113" s="3">
        <v>3.0</v>
      </c>
      <c r="F113" s="3">
        <v>4.0</v>
      </c>
      <c r="G113" s="3">
        <v>5.0</v>
      </c>
      <c r="H113" s="3">
        <v>6.0</v>
      </c>
      <c r="I113" s="3">
        <v>7.0</v>
      </c>
      <c r="J113" s="3">
        <v>8.0</v>
      </c>
      <c r="K113" s="3">
        <v>9.0</v>
      </c>
      <c r="L113" s="3">
        <v>10.0</v>
      </c>
      <c r="M113" s="3">
        <v>11.0</v>
      </c>
      <c r="N113" s="3">
        <v>12.0</v>
      </c>
      <c r="O113" s="3">
        <v>13.0</v>
      </c>
      <c r="P113" s="3">
        <v>14.0</v>
      </c>
      <c r="Q113" s="3">
        <v>15.0</v>
      </c>
      <c r="R113" s="3">
        <v>16.0</v>
      </c>
      <c r="S113" s="3">
        <v>17.0</v>
      </c>
      <c r="T113" s="3">
        <v>18.0</v>
      </c>
      <c r="U113" s="3">
        <v>19.0</v>
      </c>
      <c r="V113" s="3">
        <v>20.0</v>
      </c>
      <c r="W113" s="3">
        <v>21.0</v>
      </c>
      <c r="X113" s="3">
        <v>22.0</v>
      </c>
      <c r="Y113" s="3">
        <v>23.0</v>
      </c>
      <c r="Z113" s="3">
        <v>24.0</v>
      </c>
      <c r="AA113" s="3">
        <v>25.0</v>
      </c>
      <c r="AB113" s="3">
        <v>26.0</v>
      </c>
      <c r="AC113" s="3">
        <v>27.0</v>
      </c>
      <c r="AD113" s="3">
        <v>28.0</v>
      </c>
      <c r="AE113" s="3">
        <v>29.0</v>
      </c>
      <c r="AF113" s="3">
        <v>30.0</v>
      </c>
      <c r="AG113" s="3">
        <v>31.0</v>
      </c>
      <c r="AH113" s="3">
        <v>32.0</v>
      </c>
      <c r="AI113" s="3">
        <v>33.0</v>
      </c>
      <c r="AJ113" s="3">
        <v>34.0</v>
      </c>
      <c r="AL113" s="10" t="s">
        <v>54</v>
      </c>
      <c r="AN113" s="10" t="s">
        <v>128</v>
      </c>
    </row>
    <row r="114">
      <c r="B114" s="5" t="s">
        <v>2</v>
      </c>
      <c r="C114" s="6">
        <v>1.0</v>
      </c>
      <c r="D114" s="6">
        <v>1.0</v>
      </c>
      <c r="E114" s="6">
        <v>0.0</v>
      </c>
      <c r="F114" s="6">
        <v>1.0</v>
      </c>
      <c r="G114" s="6">
        <v>1.0</v>
      </c>
      <c r="H114" s="6">
        <v>1.0</v>
      </c>
      <c r="I114" s="6">
        <v>1.0</v>
      </c>
      <c r="J114" s="6">
        <v>1.0</v>
      </c>
      <c r="K114" s="6">
        <v>0.0</v>
      </c>
      <c r="L114" s="6">
        <v>1.0</v>
      </c>
      <c r="M114" s="6">
        <v>1.0</v>
      </c>
      <c r="N114" s="6">
        <v>1.0</v>
      </c>
      <c r="O114" s="6">
        <v>1.0</v>
      </c>
      <c r="P114" s="6">
        <v>1.0</v>
      </c>
      <c r="Q114" s="6">
        <v>1.0</v>
      </c>
      <c r="R114" s="6">
        <v>1.0</v>
      </c>
      <c r="S114" s="6">
        <v>1.0</v>
      </c>
      <c r="T114" s="6">
        <v>1.0</v>
      </c>
      <c r="U114" s="6">
        <v>1.0</v>
      </c>
      <c r="V114" s="6">
        <v>1.0</v>
      </c>
      <c r="W114" s="6">
        <v>1.0</v>
      </c>
      <c r="X114" s="6">
        <v>1.0</v>
      </c>
      <c r="Y114" s="6">
        <v>1.0</v>
      </c>
      <c r="Z114" s="6">
        <v>1.0</v>
      </c>
      <c r="AA114" s="6">
        <v>1.0</v>
      </c>
      <c r="AB114" s="6">
        <v>1.0</v>
      </c>
      <c r="AC114" s="6">
        <v>1.0</v>
      </c>
      <c r="AD114" s="6">
        <v>1.0</v>
      </c>
      <c r="AE114" s="6">
        <v>1.0</v>
      </c>
      <c r="AF114" s="6">
        <v>1.0</v>
      </c>
      <c r="AG114" s="6">
        <v>1.0</v>
      </c>
      <c r="AH114" s="6">
        <v>1.0</v>
      </c>
      <c r="AI114" s="6">
        <v>1.0</v>
      </c>
      <c r="AJ114" s="6">
        <v>1.0</v>
      </c>
      <c r="AL114" s="6">
        <f t="shared" ref="AL114:AL148" si="22">STDEV(C114:AJ114)</f>
        <v>0.2388325736</v>
      </c>
      <c r="AN114" s="6">
        <f t="shared" ref="AN114:AN148" si="23">SUM(C114:AJ114)</f>
        <v>32</v>
      </c>
    </row>
    <row r="115">
      <c r="B115" s="5" t="s">
        <v>3</v>
      </c>
      <c r="C115" s="6">
        <v>0.0</v>
      </c>
      <c r="D115" s="6">
        <v>1.0</v>
      </c>
      <c r="E115" s="6">
        <v>0.0</v>
      </c>
      <c r="F115" s="6">
        <v>0.0</v>
      </c>
      <c r="G115" s="6">
        <v>0.0</v>
      </c>
      <c r="H115" s="6">
        <v>1.0</v>
      </c>
      <c r="I115" s="6">
        <v>1.0</v>
      </c>
      <c r="J115" s="6">
        <v>0.0</v>
      </c>
      <c r="K115" s="6">
        <v>0.0</v>
      </c>
      <c r="L115" s="6">
        <v>0.0</v>
      </c>
      <c r="M115" s="6">
        <v>0.0</v>
      </c>
      <c r="N115" s="6">
        <v>1.0</v>
      </c>
      <c r="O115" s="6">
        <v>0.0</v>
      </c>
      <c r="P115" s="6">
        <v>0.0</v>
      </c>
      <c r="Q115" s="6">
        <v>0.0</v>
      </c>
      <c r="R115" s="6">
        <v>1.0</v>
      </c>
      <c r="S115" s="6">
        <v>0.0</v>
      </c>
      <c r="T115" s="6">
        <v>1.0</v>
      </c>
      <c r="U115" s="6">
        <v>0.0</v>
      </c>
      <c r="V115" s="6">
        <v>0.0</v>
      </c>
      <c r="W115" s="6">
        <v>0.0</v>
      </c>
      <c r="X115" s="6">
        <v>1.0</v>
      </c>
      <c r="Y115" s="6">
        <v>0.0</v>
      </c>
      <c r="Z115" s="6">
        <v>1.0</v>
      </c>
      <c r="AA115" s="6">
        <v>1.0</v>
      </c>
      <c r="AB115" s="6">
        <v>1.0</v>
      </c>
      <c r="AC115" s="6">
        <v>0.0</v>
      </c>
      <c r="AD115" s="6">
        <v>0.0</v>
      </c>
      <c r="AE115" s="6">
        <v>1.0</v>
      </c>
      <c r="AF115" s="6">
        <v>0.0</v>
      </c>
      <c r="AG115" s="6">
        <v>0.0</v>
      </c>
      <c r="AH115" s="6">
        <v>0.0</v>
      </c>
      <c r="AI115" s="6">
        <v>0.0</v>
      </c>
      <c r="AJ115" s="6">
        <v>0.0</v>
      </c>
      <c r="AL115" s="6">
        <f t="shared" si="22"/>
        <v>0.4748580799</v>
      </c>
      <c r="AN115" s="6">
        <f t="shared" si="23"/>
        <v>11</v>
      </c>
    </row>
    <row r="116">
      <c r="B116" s="5" t="s">
        <v>4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1.0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1.0</v>
      </c>
      <c r="Y116" s="6">
        <v>0.0</v>
      </c>
      <c r="Z116" s="6">
        <v>0.0</v>
      </c>
      <c r="AA116" s="6">
        <v>0.0</v>
      </c>
      <c r="AB116" s="6">
        <v>1.0</v>
      </c>
      <c r="AC116" s="6">
        <v>0.0</v>
      </c>
      <c r="AD116" s="6">
        <v>1.0</v>
      </c>
      <c r="AE116" s="6">
        <v>1.0</v>
      </c>
      <c r="AF116" s="6">
        <v>0.0</v>
      </c>
      <c r="AG116" s="6">
        <v>0.0</v>
      </c>
      <c r="AH116" s="6">
        <v>1.0</v>
      </c>
      <c r="AI116" s="6">
        <v>0.0</v>
      </c>
      <c r="AJ116" s="6">
        <v>0.0</v>
      </c>
      <c r="AL116" s="6">
        <f t="shared" si="22"/>
        <v>0.386952995</v>
      </c>
      <c r="AN116" s="6">
        <f t="shared" si="23"/>
        <v>6</v>
      </c>
    </row>
    <row r="117">
      <c r="B117" s="5" t="s">
        <v>5</v>
      </c>
      <c r="C117" s="6">
        <v>1.0</v>
      </c>
      <c r="D117" s="6">
        <v>1.0</v>
      </c>
      <c r="E117" s="6">
        <v>1.0</v>
      </c>
      <c r="F117" s="6">
        <v>0.0</v>
      </c>
      <c r="G117" s="6">
        <v>0.0</v>
      </c>
      <c r="H117" s="6">
        <v>1.0</v>
      </c>
      <c r="I117" s="6">
        <v>0.0</v>
      </c>
      <c r="J117" s="6">
        <v>1.0</v>
      </c>
      <c r="K117" s="6">
        <v>0.0</v>
      </c>
      <c r="L117" s="6">
        <v>0.0</v>
      </c>
      <c r="M117" s="6">
        <v>0.0</v>
      </c>
      <c r="N117" s="6">
        <v>1.0</v>
      </c>
      <c r="O117" s="6">
        <v>0.0</v>
      </c>
      <c r="P117" s="6">
        <v>1.0</v>
      </c>
      <c r="Q117" s="6">
        <v>1.0</v>
      </c>
      <c r="R117" s="6">
        <v>1.0</v>
      </c>
      <c r="S117" s="6">
        <v>1.0</v>
      </c>
      <c r="T117" s="6">
        <v>1.0</v>
      </c>
      <c r="U117" s="6">
        <v>0.0</v>
      </c>
      <c r="V117" s="6">
        <v>1.0</v>
      </c>
      <c r="W117" s="6">
        <v>1.0</v>
      </c>
      <c r="X117" s="6">
        <v>1.0</v>
      </c>
      <c r="Y117" s="6">
        <v>1.0</v>
      </c>
      <c r="Z117" s="6">
        <v>1.0</v>
      </c>
      <c r="AA117" s="6">
        <v>1.0</v>
      </c>
      <c r="AB117" s="6">
        <v>1.0</v>
      </c>
      <c r="AC117" s="6">
        <v>1.0</v>
      </c>
      <c r="AD117" s="6">
        <v>1.0</v>
      </c>
      <c r="AE117" s="6">
        <v>0.0</v>
      </c>
      <c r="AF117" s="6">
        <v>1.0</v>
      </c>
      <c r="AG117" s="6">
        <v>1.0</v>
      </c>
      <c r="AH117" s="6">
        <v>1.0</v>
      </c>
      <c r="AI117" s="6">
        <v>0.0</v>
      </c>
      <c r="AJ117" s="6">
        <v>1.0</v>
      </c>
      <c r="AL117" s="6">
        <f t="shared" si="22"/>
        <v>0.4624972901</v>
      </c>
      <c r="AN117" s="6">
        <f t="shared" si="23"/>
        <v>24</v>
      </c>
    </row>
    <row r="118">
      <c r="B118" s="5" t="s">
        <v>6</v>
      </c>
      <c r="C118" s="6">
        <v>1.0</v>
      </c>
      <c r="D118" s="6">
        <v>1.0</v>
      </c>
      <c r="E118" s="6">
        <v>1.0</v>
      </c>
      <c r="F118" s="6">
        <v>1.0</v>
      </c>
      <c r="G118" s="6">
        <v>1.0</v>
      </c>
      <c r="H118" s="6">
        <v>1.0</v>
      </c>
      <c r="I118" s="6">
        <v>1.0</v>
      </c>
      <c r="J118" s="6">
        <v>1.0</v>
      </c>
      <c r="K118" s="6">
        <v>1.0</v>
      </c>
      <c r="L118" s="6">
        <v>0.0</v>
      </c>
      <c r="M118" s="6">
        <v>1.0</v>
      </c>
      <c r="N118" s="6">
        <v>1.0</v>
      </c>
      <c r="O118" s="6">
        <v>0.0</v>
      </c>
      <c r="P118" s="6">
        <v>1.0</v>
      </c>
      <c r="Q118" s="6">
        <v>1.0</v>
      </c>
      <c r="R118" s="6">
        <v>0.0</v>
      </c>
      <c r="S118" s="6">
        <v>1.0</v>
      </c>
      <c r="T118" s="6">
        <v>1.0</v>
      </c>
      <c r="U118" s="6">
        <v>1.0</v>
      </c>
      <c r="V118" s="6">
        <v>1.0</v>
      </c>
      <c r="W118" s="6">
        <v>1.0</v>
      </c>
      <c r="X118" s="6">
        <v>1.0</v>
      </c>
      <c r="Y118" s="6">
        <v>0.0</v>
      </c>
      <c r="Z118" s="6">
        <v>1.0</v>
      </c>
      <c r="AA118" s="6">
        <v>1.0</v>
      </c>
      <c r="AB118" s="6">
        <v>1.0</v>
      </c>
      <c r="AC118" s="6">
        <v>1.0</v>
      </c>
      <c r="AD118" s="6">
        <v>0.0</v>
      </c>
      <c r="AE118" s="6">
        <v>1.0</v>
      </c>
      <c r="AF118" s="6">
        <v>0.0</v>
      </c>
      <c r="AG118" s="6">
        <v>0.0</v>
      </c>
      <c r="AH118" s="6">
        <v>1.0</v>
      </c>
      <c r="AI118" s="6">
        <v>0.0</v>
      </c>
      <c r="AJ118" s="6">
        <v>0.0</v>
      </c>
      <c r="AL118" s="6">
        <f t="shared" si="22"/>
        <v>0.4478110755</v>
      </c>
      <c r="AN118" s="6">
        <f t="shared" si="23"/>
        <v>25</v>
      </c>
    </row>
    <row r="119">
      <c r="B119" s="5" t="s">
        <v>7</v>
      </c>
      <c r="C119" s="6">
        <v>1.0</v>
      </c>
      <c r="D119" s="6">
        <v>1.0</v>
      </c>
      <c r="E119" s="6">
        <v>0.0</v>
      </c>
      <c r="F119" s="6">
        <v>1.0</v>
      </c>
      <c r="G119" s="6">
        <v>0.0</v>
      </c>
      <c r="H119" s="6">
        <v>1.0</v>
      </c>
      <c r="I119" s="6">
        <v>1.0</v>
      </c>
      <c r="J119" s="6">
        <v>1.0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1.0</v>
      </c>
      <c r="Q119" s="6">
        <v>1.0</v>
      </c>
      <c r="R119" s="6">
        <v>1.0</v>
      </c>
      <c r="S119" s="6">
        <v>1.0</v>
      </c>
      <c r="T119" s="6">
        <v>0.0</v>
      </c>
      <c r="U119" s="6">
        <v>0.0</v>
      </c>
      <c r="V119" s="6">
        <v>1.0</v>
      </c>
      <c r="W119" s="6">
        <v>0.0</v>
      </c>
      <c r="X119" s="6">
        <v>0.0</v>
      </c>
      <c r="Y119" s="6">
        <v>1.0</v>
      </c>
      <c r="Z119" s="6">
        <v>1.0</v>
      </c>
      <c r="AA119" s="6">
        <v>1.0</v>
      </c>
      <c r="AB119" s="6">
        <v>1.0</v>
      </c>
      <c r="AC119" s="6">
        <v>0.0</v>
      </c>
      <c r="AD119" s="6">
        <v>0.0</v>
      </c>
      <c r="AE119" s="6">
        <v>1.0</v>
      </c>
      <c r="AF119" s="6">
        <v>0.0</v>
      </c>
      <c r="AG119" s="6">
        <v>1.0</v>
      </c>
      <c r="AH119" s="6">
        <v>1.0</v>
      </c>
      <c r="AI119" s="6">
        <v>0.0</v>
      </c>
      <c r="AJ119" s="6">
        <v>0.0</v>
      </c>
      <c r="AL119" s="6">
        <f t="shared" si="22"/>
        <v>0.5066403971</v>
      </c>
      <c r="AN119" s="6">
        <f t="shared" si="23"/>
        <v>18</v>
      </c>
    </row>
    <row r="120">
      <c r="B120" s="5" t="s">
        <v>8</v>
      </c>
      <c r="C120" s="6">
        <v>0.0</v>
      </c>
      <c r="D120" s="6">
        <v>1.0</v>
      </c>
      <c r="E120" s="6">
        <v>0.0</v>
      </c>
      <c r="F120" s="6">
        <v>0.0</v>
      </c>
      <c r="G120" s="6">
        <v>0.0</v>
      </c>
      <c r="H120" s="6">
        <v>1.0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1.0</v>
      </c>
      <c r="R120" s="6">
        <v>0.0</v>
      </c>
      <c r="S120" s="6">
        <v>1.0</v>
      </c>
      <c r="T120" s="6">
        <v>0.0</v>
      </c>
      <c r="U120" s="6">
        <v>0.0</v>
      </c>
      <c r="V120" s="6">
        <v>0.0</v>
      </c>
      <c r="W120" s="6">
        <v>0.0</v>
      </c>
      <c r="X120" s="6">
        <v>1.0</v>
      </c>
      <c r="Y120" s="6">
        <v>1.0</v>
      </c>
      <c r="Z120" s="6">
        <v>1.0</v>
      </c>
      <c r="AA120" s="6">
        <v>0.0</v>
      </c>
      <c r="AB120" s="6">
        <v>1.0</v>
      </c>
      <c r="AC120" s="6">
        <v>0.0</v>
      </c>
      <c r="AD120" s="6">
        <v>0.0</v>
      </c>
      <c r="AE120" s="6">
        <v>1.0</v>
      </c>
      <c r="AF120" s="6">
        <v>0.0</v>
      </c>
      <c r="AG120" s="6">
        <v>0.0</v>
      </c>
      <c r="AH120" s="6">
        <v>1.0</v>
      </c>
      <c r="AI120" s="6">
        <v>0.0</v>
      </c>
      <c r="AJ120" s="6">
        <v>1.0</v>
      </c>
      <c r="AL120" s="6">
        <f t="shared" si="22"/>
        <v>0.4748580799</v>
      </c>
      <c r="AN120" s="6">
        <f t="shared" si="23"/>
        <v>11</v>
      </c>
    </row>
    <row r="121">
      <c r="B121" s="5" t="s">
        <v>9</v>
      </c>
      <c r="C121" s="6">
        <v>1.0</v>
      </c>
      <c r="D121" s="6">
        <v>1.0</v>
      </c>
      <c r="E121" s="6">
        <v>1.0</v>
      </c>
      <c r="F121" s="6">
        <v>1.0</v>
      </c>
      <c r="G121" s="6">
        <v>1.0</v>
      </c>
      <c r="H121" s="6">
        <v>1.0</v>
      </c>
      <c r="I121" s="6">
        <v>0.0</v>
      </c>
      <c r="J121" s="6">
        <v>0.0</v>
      </c>
      <c r="K121" s="6">
        <v>1.0</v>
      </c>
      <c r="L121" s="6">
        <v>1.0</v>
      </c>
      <c r="M121" s="6">
        <v>1.0</v>
      </c>
      <c r="N121" s="6">
        <v>1.0</v>
      </c>
      <c r="O121" s="6">
        <v>0.0</v>
      </c>
      <c r="P121" s="6">
        <v>0.0</v>
      </c>
      <c r="Q121" s="6">
        <v>1.0</v>
      </c>
      <c r="R121" s="6">
        <v>1.0</v>
      </c>
      <c r="S121" s="6">
        <v>1.0</v>
      </c>
      <c r="T121" s="6">
        <v>1.0</v>
      </c>
      <c r="U121" s="6">
        <v>0.0</v>
      </c>
      <c r="V121" s="6">
        <v>1.0</v>
      </c>
      <c r="W121" s="6">
        <v>1.0</v>
      </c>
      <c r="X121" s="6">
        <v>0.0</v>
      </c>
      <c r="Y121" s="6">
        <v>1.0</v>
      </c>
      <c r="Z121" s="6">
        <v>1.0</v>
      </c>
      <c r="AA121" s="6">
        <v>0.0</v>
      </c>
      <c r="AB121" s="6">
        <v>1.0</v>
      </c>
      <c r="AC121" s="6">
        <v>1.0</v>
      </c>
      <c r="AD121" s="6">
        <v>1.0</v>
      </c>
      <c r="AE121" s="6">
        <v>1.0</v>
      </c>
      <c r="AF121" s="6">
        <v>1.0</v>
      </c>
      <c r="AG121" s="6">
        <v>1.0</v>
      </c>
      <c r="AH121" s="6">
        <v>1.0</v>
      </c>
      <c r="AI121" s="6">
        <v>0.0</v>
      </c>
      <c r="AJ121" s="6">
        <v>1.0</v>
      </c>
      <c r="AL121" s="6">
        <f t="shared" si="22"/>
        <v>0.4305615452</v>
      </c>
      <c r="AN121" s="6">
        <f t="shared" si="23"/>
        <v>26</v>
      </c>
    </row>
    <row r="122">
      <c r="B122" s="5" t="s">
        <v>10</v>
      </c>
      <c r="C122" s="6">
        <v>0.0</v>
      </c>
      <c r="D122" s="6">
        <v>1.0</v>
      </c>
      <c r="E122" s="6">
        <v>1.0</v>
      </c>
      <c r="F122" s="6">
        <v>0.0</v>
      </c>
      <c r="G122" s="6">
        <v>0.0</v>
      </c>
      <c r="H122" s="6">
        <v>1.0</v>
      </c>
      <c r="I122" s="6">
        <v>1.0</v>
      </c>
      <c r="J122" s="6">
        <v>0.0</v>
      </c>
      <c r="K122" s="6">
        <v>0.0</v>
      </c>
      <c r="L122" s="6">
        <v>0.0</v>
      </c>
      <c r="M122" s="6">
        <v>0.0</v>
      </c>
      <c r="N122" s="6">
        <v>1.0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  <c r="U122" s="6">
        <v>0.0</v>
      </c>
      <c r="V122" s="6">
        <v>0.0</v>
      </c>
      <c r="W122" s="6">
        <v>0.0</v>
      </c>
      <c r="X122" s="6">
        <v>0.0</v>
      </c>
      <c r="Y122" s="6">
        <v>0.0</v>
      </c>
      <c r="Z122" s="6">
        <v>1.0</v>
      </c>
      <c r="AA122" s="6">
        <v>0.0</v>
      </c>
      <c r="AB122" s="6">
        <v>1.0</v>
      </c>
      <c r="AC122" s="6">
        <v>0.0</v>
      </c>
      <c r="AD122" s="6">
        <v>0.0</v>
      </c>
      <c r="AE122" s="6">
        <v>0.0</v>
      </c>
      <c r="AF122" s="6">
        <v>0.0</v>
      </c>
      <c r="AG122" s="6">
        <v>0.0</v>
      </c>
      <c r="AH122" s="6">
        <v>0.0</v>
      </c>
      <c r="AI122" s="6">
        <v>0.0</v>
      </c>
      <c r="AJ122" s="6">
        <v>0.0</v>
      </c>
      <c r="AL122" s="6">
        <f t="shared" si="22"/>
        <v>0.4104256301</v>
      </c>
      <c r="AN122" s="6">
        <f t="shared" si="23"/>
        <v>7</v>
      </c>
    </row>
    <row r="123">
      <c r="B123" s="5" t="s">
        <v>11</v>
      </c>
      <c r="C123" s="6">
        <v>0.0</v>
      </c>
      <c r="D123" s="6">
        <v>1.0</v>
      </c>
      <c r="E123" s="6">
        <v>1.0</v>
      </c>
      <c r="F123" s="6">
        <v>1.0</v>
      </c>
      <c r="G123" s="6">
        <v>0.0</v>
      </c>
      <c r="H123" s="6">
        <v>0.0</v>
      </c>
      <c r="I123" s="6">
        <v>1.0</v>
      </c>
      <c r="J123" s="6">
        <v>1.0</v>
      </c>
      <c r="K123" s="6">
        <v>0.0</v>
      </c>
      <c r="L123" s="6">
        <v>1.0</v>
      </c>
      <c r="M123" s="6">
        <v>0.0</v>
      </c>
      <c r="N123" s="6">
        <v>0.0</v>
      </c>
      <c r="O123" s="6">
        <v>0.0</v>
      </c>
      <c r="P123" s="6">
        <v>0.0</v>
      </c>
      <c r="Q123" s="6">
        <v>0.0</v>
      </c>
      <c r="R123" s="6">
        <v>1.0</v>
      </c>
      <c r="S123" s="6">
        <v>0.0</v>
      </c>
      <c r="T123" s="6">
        <v>1.0</v>
      </c>
      <c r="U123" s="6">
        <v>1.0</v>
      </c>
      <c r="V123" s="6">
        <v>1.0</v>
      </c>
      <c r="W123" s="6">
        <v>0.0</v>
      </c>
      <c r="X123" s="6">
        <v>0.0</v>
      </c>
      <c r="Y123" s="6">
        <v>0.0</v>
      </c>
      <c r="Z123" s="6">
        <v>0.0</v>
      </c>
      <c r="AA123" s="6">
        <v>0.0</v>
      </c>
      <c r="AB123" s="6">
        <v>0.0</v>
      </c>
      <c r="AC123" s="6">
        <v>1.0</v>
      </c>
      <c r="AD123" s="6">
        <v>1.0</v>
      </c>
      <c r="AE123" s="6">
        <v>0.0</v>
      </c>
      <c r="AF123" s="6">
        <v>0.0</v>
      </c>
      <c r="AG123" s="6">
        <v>0.0</v>
      </c>
      <c r="AH123" s="6">
        <v>1.0</v>
      </c>
      <c r="AI123" s="6">
        <v>0.0</v>
      </c>
      <c r="AJ123" s="6">
        <v>0.0</v>
      </c>
      <c r="AL123" s="6">
        <f t="shared" si="22"/>
        <v>0.4932702181</v>
      </c>
      <c r="AN123" s="6">
        <f t="shared" si="23"/>
        <v>13</v>
      </c>
    </row>
    <row r="124">
      <c r="B124" s="5" t="s">
        <v>12</v>
      </c>
      <c r="C124" s="6">
        <v>0.0</v>
      </c>
      <c r="D124" s="6">
        <v>1.0</v>
      </c>
      <c r="E124" s="6">
        <v>0.0</v>
      </c>
      <c r="F124" s="6">
        <v>0.0</v>
      </c>
      <c r="G124" s="6">
        <v>0.0</v>
      </c>
      <c r="H124" s="6">
        <v>1.0</v>
      </c>
      <c r="I124" s="6">
        <v>0.0</v>
      </c>
      <c r="J124" s="6">
        <v>1.0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1.0</v>
      </c>
      <c r="R124" s="6">
        <v>0.0</v>
      </c>
      <c r="S124" s="6">
        <v>0.0</v>
      </c>
      <c r="T124" s="6">
        <v>0.0</v>
      </c>
      <c r="U124" s="6">
        <v>0.0</v>
      </c>
      <c r="V124" s="6">
        <v>1.0</v>
      </c>
      <c r="W124" s="6">
        <v>0.0</v>
      </c>
      <c r="X124" s="6">
        <v>0.0</v>
      </c>
      <c r="Y124" s="6">
        <v>0.0</v>
      </c>
      <c r="Z124" s="6">
        <v>0.0</v>
      </c>
      <c r="AA124" s="6">
        <v>0.0</v>
      </c>
      <c r="AB124" s="6">
        <v>0.0</v>
      </c>
      <c r="AC124" s="6">
        <v>1.0</v>
      </c>
      <c r="AD124" s="6">
        <v>0.0</v>
      </c>
      <c r="AE124" s="6">
        <v>0.0</v>
      </c>
      <c r="AF124" s="6">
        <v>1.0</v>
      </c>
      <c r="AG124" s="6">
        <v>0.0</v>
      </c>
      <c r="AH124" s="6">
        <v>1.0</v>
      </c>
      <c r="AI124" s="6">
        <v>0.0</v>
      </c>
      <c r="AJ124" s="6">
        <v>1.0</v>
      </c>
      <c r="AL124" s="6">
        <f t="shared" si="22"/>
        <v>0.4478110755</v>
      </c>
      <c r="AN124" s="6">
        <f t="shared" si="23"/>
        <v>9</v>
      </c>
    </row>
    <row r="125">
      <c r="B125" s="5" t="s">
        <v>13</v>
      </c>
      <c r="C125" s="6">
        <v>1.0</v>
      </c>
      <c r="D125" s="6">
        <v>0.0</v>
      </c>
      <c r="E125" s="6">
        <v>0.0</v>
      </c>
      <c r="F125" s="6">
        <v>0.0</v>
      </c>
      <c r="G125" s="6">
        <v>0.0</v>
      </c>
      <c r="H125" s="6">
        <v>1.0</v>
      </c>
      <c r="I125" s="6">
        <v>1.0</v>
      </c>
      <c r="J125" s="6">
        <v>1.0</v>
      </c>
      <c r="K125" s="6">
        <v>0.0</v>
      </c>
      <c r="L125" s="6">
        <v>0.0</v>
      </c>
      <c r="M125" s="6">
        <v>0.0</v>
      </c>
      <c r="N125" s="6">
        <v>1.0</v>
      </c>
      <c r="O125" s="6">
        <v>0.0</v>
      </c>
      <c r="P125" s="6">
        <v>0.0</v>
      </c>
      <c r="Q125" s="6">
        <v>1.0</v>
      </c>
      <c r="R125" s="6">
        <v>0.0</v>
      </c>
      <c r="S125" s="6">
        <v>0.0</v>
      </c>
      <c r="T125" s="6">
        <v>0.0</v>
      </c>
      <c r="U125" s="6">
        <v>1.0</v>
      </c>
      <c r="V125" s="6">
        <v>0.0</v>
      </c>
      <c r="W125" s="6">
        <v>0.0</v>
      </c>
      <c r="X125" s="6">
        <v>0.0</v>
      </c>
      <c r="Y125" s="6">
        <v>0.0</v>
      </c>
      <c r="Z125" s="6">
        <v>0.0</v>
      </c>
      <c r="AA125" s="6">
        <v>0.0</v>
      </c>
      <c r="AB125" s="6">
        <v>0.0</v>
      </c>
      <c r="AC125" s="6">
        <v>1.0</v>
      </c>
      <c r="AD125" s="6">
        <v>0.0</v>
      </c>
      <c r="AE125" s="6">
        <v>0.0</v>
      </c>
      <c r="AF125" s="6">
        <v>0.0</v>
      </c>
      <c r="AG125" s="6">
        <v>0.0</v>
      </c>
      <c r="AH125" s="6">
        <v>1.0</v>
      </c>
      <c r="AI125" s="6">
        <v>0.0</v>
      </c>
      <c r="AJ125" s="6">
        <v>0.0</v>
      </c>
      <c r="AL125" s="6">
        <f t="shared" si="22"/>
        <v>0.4478110755</v>
      </c>
      <c r="AN125" s="6">
        <f t="shared" si="23"/>
        <v>9</v>
      </c>
    </row>
    <row r="126">
      <c r="B126" s="5" t="s">
        <v>14</v>
      </c>
      <c r="C126" s="6">
        <v>1.0</v>
      </c>
      <c r="D126" s="6">
        <v>1.0</v>
      </c>
      <c r="E126" s="6">
        <v>0.0</v>
      </c>
      <c r="F126" s="6">
        <v>1.0</v>
      </c>
      <c r="G126" s="6">
        <v>1.0</v>
      </c>
      <c r="H126" s="6">
        <v>1.0</v>
      </c>
      <c r="I126" s="6">
        <v>0.0</v>
      </c>
      <c r="J126" s="6">
        <v>1.0</v>
      </c>
      <c r="K126" s="6">
        <v>1.0</v>
      </c>
      <c r="L126" s="6">
        <v>0.0</v>
      </c>
      <c r="M126" s="6">
        <v>0.0</v>
      </c>
      <c r="N126" s="6">
        <v>1.0</v>
      </c>
      <c r="O126" s="6">
        <v>0.0</v>
      </c>
      <c r="P126" s="6">
        <v>0.0</v>
      </c>
      <c r="Q126" s="6">
        <v>1.0</v>
      </c>
      <c r="R126" s="6">
        <v>1.0</v>
      </c>
      <c r="S126" s="6">
        <v>1.0</v>
      </c>
      <c r="T126" s="6">
        <v>1.0</v>
      </c>
      <c r="U126" s="6">
        <v>0.0</v>
      </c>
      <c r="V126" s="6">
        <v>1.0</v>
      </c>
      <c r="W126" s="6">
        <v>1.0</v>
      </c>
      <c r="X126" s="6">
        <v>0.0</v>
      </c>
      <c r="Y126" s="6">
        <v>1.0</v>
      </c>
      <c r="Z126" s="6">
        <v>1.0</v>
      </c>
      <c r="AA126" s="6">
        <v>0.0</v>
      </c>
      <c r="AB126" s="6">
        <v>1.0</v>
      </c>
      <c r="AC126" s="6">
        <v>0.0</v>
      </c>
      <c r="AD126" s="6">
        <v>1.0</v>
      </c>
      <c r="AE126" s="6">
        <v>0.0</v>
      </c>
      <c r="AF126" s="6">
        <v>1.0</v>
      </c>
      <c r="AG126" s="6">
        <v>1.0</v>
      </c>
      <c r="AH126" s="6">
        <v>0.0</v>
      </c>
      <c r="AI126" s="6">
        <v>0.0</v>
      </c>
      <c r="AJ126" s="6">
        <v>1.0</v>
      </c>
      <c r="AL126" s="6">
        <f t="shared" si="22"/>
        <v>0.4932702181</v>
      </c>
      <c r="AN126" s="6">
        <f t="shared" si="23"/>
        <v>21</v>
      </c>
    </row>
    <row r="127">
      <c r="B127" s="5" t="s">
        <v>15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1.0</v>
      </c>
      <c r="I127" s="6">
        <v>0.0</v>
      </c>
      <c r="J127" s="6">
        <v>0.0</v>
      </c>
      <c r="K127" s="6">
        <v>0.0</v>
      </c>
      <c r="L127" s="6">
        <v>1.0</v>
      </c>
      <c r="M127" s="6">
        <v>0.0</v>
      </c>
      <c r="N127" s="6">
        <v>1.0</v>
      </c>
      <c r="O127" s="6">
        <v>0.0</v>
      </c>
      <c r="P127" s="6">
        <v>1.0</v>
      </c>
      <c r="Q127" s="6">
        <v>1.0</v>
      </c>
      <c r="R127" s="6">
        <v>1.0</v>
      </c>
      <c r="S127" s="6">
        <v>1.0</v>
      </c>
      <c r="T127" s="6">
        <v>1.0</v>
      </c>
      <c r="U127" s="6">
        <v>1.0</v>
      </c>
      <c r="V127" s="6">
        <v>0.0</v>
      </c>
      <c r="W127" s="6">
        <v>0.0</v>
      </c>
      <c r="X127" s="6">
        <v>0.0</v>
      </c>
      <c r="Y127" s="6">
        <v>1.0</v>
      </c>
      <c r="Z127" s="6">
        <v>1.0</v>
      </c>
      <c r="AA127" s="6">
        <v>1.0</v>
      </c>
      <c r="AB127" s="6">
        <v>1.0</v>
      </c>
      <c r="AC127" s="6">
        <v>1.0</v>
      </c>
      <c r="AD127" s="6">
        <v>1.0</v>
      </c>
      <c r="AE127" s="6">
        <v>1.0</v>
      </c>
      <c r="AF127" s="6">
        <v>1.0</v>
      </c>
      <c r="AG127" s="6">
        <v>0.0</v>
      </c>
      <c r="AH127" s="6">
        <v>1.0</v>
      </c>
      <c r="AI127" s="6">
        <v>1.0</v>
      </c>
      <c r="AJ127" s="6">
        <v>1.0</v>
      </c>
      <c r="AL127" s="6">
        <f t="shared" si="22"/>
        <v>0.4995541684</v>
      </c>
      <c r="AN127" s="6">
        <f t="shared" si="23"/>
        <v>20</v>
      </c>
    </row>
    <row r="128">
      <c r="B128" s="8" t="s">
        <v>16</v>
      </c>
      <c r="C128" s="6">
        <v>1.0</v>
      </c>
      <c r="D128" s="6">
        <v>1.0</v>
      </c>
      <c r="E128" s="6">
        <v>1.0</v>
      </c>
      <c r="F128" s="6">
        <v>0.0</v>
      </c>
      <c r="G128" s="6">
        <v>0.0</v>
      </c>
      <c r="H128" s="6">
        <v>1.0</v>
      </c>
      <c r="I128" s="6">
        <v>1.0</v>
      </c>
      <c r="J128" s="6">
        <v>1.0</v>
      </c>
      <c r="K128" s="6">
        <v>0.0</v>
      </c>
      <c r="L128" s="6">
        <v>0.0</v>
      </c>
      <c r="M128" s="6">
        <v>1.0</v>
      </c>
      <c r="N128" s="6">
        <v>1.0</v>
      </c>
      <c r="O128" s="6">
        <v>1.0</v>
      </c>
      <c r="P128" s="6">
        <v>0.0</v>
      </c>
      <c r="Q128" s="6">
        <v>1.0</v>
      </c>
      <c r="R128" s="6">
        <v>1.0</v>
      </c>
      <c r="S128" s="6">
        <v>0.0</v>
      </c>
      <c r="T128" s="6">
        <v>1.0</v>
      </c>
      <c r="U128" s="6">
        <v>1.0</v>
      </c>
      <c r="V128" s="6">
        <v>1.0</v>
      </c>
      <c r="W128" s="6">
        <v>0.0</v>
      </c>
      <c r="X128" s="6">
        <v>0.0</v>
      </c>
      <c r="Y128" s="6">
        <v>1.0</v>
      </c>
      <c r="Z128" s="6">
        <v>1.0</v>
      </c>
      <c r="AA128" s="6">
        <v>1.0</v>
      </c>
      <c r="AB128" s="6">
        <v>1.0</v>
      </c>
      <c r="AC128" s="6">
        <v>1.0</v>
      </c>
      <c r="AD128" s="6">
        <v>0.0</v>
      </c>
      <c r="AE128" s="6">
        <v>0.0</v>
      </c>
      <c r="AF128" s="6">
        <v>1.0</v>
      </c>
      <c r="AG128" s="6">
        <v>0.0</v>
      </c>
      <c r="AH128" s="6">
        <v>1.0</v>
      </c>
      <c r="AI128" s="6">
        <v>0.0</v>
      </c>
      <c r="AJ128" s="6">
        <v>1.0</v>
      </c>
      <c r="AL128" s="6">
        <f t="shared" si="22"/>
        <v>0.4850712501</v>
      </c>
      <c r="AN128" s="6">
        <f t="shared" si="23"/>
        <v>22</v>
      </c>
    </row>
    <row r="129">
      <c r="B129" s="8" t="s">
        <v>17</v>
      </c>
      <c r="C129" s="6">
        <v>1.0</v>
      </c>
      <c r="D129" s="6">
        <v>1.0</v>
      </c>
      <c r="E129" s="6">
        <v>1.0</v>
      </c>
      <c r="F129" s="6">
        <v>1.0</v>
      </c>
      <c r="G129" s="6">
        <v>0.0</v>
      </c>
      <c r="H129" s="6">
        <v>0.0</v>
      </c>
      <c r="I129" s="6">
        <v>1.0</v>
      </c>
      <c r="J129" s="6">
        <v>0.0</v>
      </c>
      <c r="K129" s="6">
        <v>0.0</v>
      </c>
      <c r="L129" s="6">
        <v>1.0</v>
      </c>
      <c r="M129" s="6">
        <v>0.0</v>
      </c>
      <c r="N129" s="6">
        <v>0.0</v>
      </c>
      <c r="O129" s="6">
        <v>0.0</v>
      </c>
      <c r="P129" s="6">
        <v>0.0</v>
      </c>
      <c r="Q129" s="6">
        <v>1.0</v>
      </c>
      <c r="R129" s="6">
        <v>0.0</v>
      </c>
      <c r="S129" s="6">
        <v>0.0</v>
      </c>
      <c r="T129" s="6">
        <v>1.0</v>
      </c>
      <c r="U129" s="6">
        <v>1.0</v>
      </c>
      <c r="V129" s="6">
        <v>1.0</v>
      </c>
      <c r="W129" s="6">
        <v>0.0</v>
      </c>
      <c r="X129" s="6">
        <v>0.0</v>
      </c>
      <c r="Y129" s="6">
        <v>1.0</v>
      </c>
      <c r="Z129" s="6">
        <v>1.0</v>
      </c>
      <c r="AA129" s="6">
        <v>0.0</v>
      </c>
      <c r="AB129" s="6">
        <v>1.0</v>
      </c>
      <c r="AC129" s="6">
        <v>1.0</v>
      </c>
      <c r="AD129" s="6">
        <v>1.0</v>
      </c>
      <c r="AE129" s="6">
        <v>1.0</v>
      </c>
      <c r="AF129" s="6">
        <v>0.0</v>
      </c>
      <c r="AG129" s="6">
        <v>0.0</v>
      </c>
      <c r="AH129" s="6">
        <v>1.0</v>
      </c>
      <c r="AI129" s="6">
        <v>0.0</v>
      </c>
      <c r="AJ129" s="6">
        <v>1.0</v>
      </c>
      <c r="AL129" s="6">
        <f t="shared" si="22"/>
        <v>0.5066403971</v>
      </c>
      <c r="AN129" s="6">
        <f t="shared" si="23"/>
        <v>18</v>
      </c>
    </row>
    <row r="130">
      <c r="B130" s="8" t="s">
        <v>18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1.0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1.0</v>
      </c>
      <c r="R130" s="6">
        <v>0.0</v>
      </c>
      <c r="S130" s="6">
        <v>1.0</v>
      </c>
      <c r="T130" s="6">
        <v>0.0</v>
      </c>
      <c r="U130" s="6">
        <v>0.0</v>
      </c>
      <c r="V130" s="6">
        <v>0.0</v>
      </c>
      <c r="W130" s="6">
        <v>0.0</v>
      </c>
      <c r="X130" s="6">
        <v>0.0</v>
      </c>
      <c r="Y130" s="6">
        <v>0.0</v>
      </c>
      <c r="Z130" s="6">
        <v>0.0</v>
      </c>
      <c r="AA130" s="6">
        <v>0.0</v>
      </c>
      <c r="AB130" s="6">
        <v>0.0</v>
      </c>
      <c r="AC130" s="6">
        <v>0.0</v>
      </c>
      <c r="AD130" s="6">
        <v>1.0</v>
      </c>
      <c r="AE130" s="6">
        <v>0.0</v>
      </c>
      <c r="AF130" s="6">
        <v>0.0</v>
      </c>
      <c r="AG130" s="6">
        <v>0.0</v>
      </c>
      <c r="AH130" s="6">
        <v>0.0</v>
      </c>
      <c r="AI130" s="6">
        <v>0.0</v>
      </c>
      <c r="AJ130" s="6">
        <v>0.0</v>
      </c>
      <c r="AL130" s="6">
        <f t="shared" si="22"/>
        <v>0.3270349701</v>
      </c>
      <c r="AN130" s="6">
        <f t="shared" si="23"/>
        <v>4</v>
      </c>
    </row>
    <row r="131">
      <c r="B131" s="8" t="s">
        <v>19</v>
      </c>
      <c r="C131" s="6">
        <v>0.0</v>
      </c>
      <c r="D131" s="6">
        <v>0.0</v>
      </c>
      <c r="E131" s="6">
        <v>1.0</v>
      </c>
      <c r="F131" s="6">
        <v>0.0</v>
      </c>
      <c r="G131" s="6">
        <v>0.0</v>
      </c>
      <c r="H131" s="6">
        <v>0.0</v>
      </c>
      <c r="I131" s="6">
        <v>1.0</v>
      </c>
      <c r="J131" s="6">
        <v>0.0</v>
      </c>
      <c r="K131" s="6">
        <v>0.0</v>
      </c>
      <c r="L131" s="6">
        <v>1.0</v>
      </c>
      <c r="M131" s="6">
        <v>0.0</v>
      </c>
      <c r="N131" s="6">
        <v>1.0</v>
      </c>
      <c r="O131" s="6">
        <v>0.0</v>
      </c>
      <c r="P131" s="6">
        <v>0.0</v>
      </c>
      <c r="Q131" s="6">
        <v>0.0</v>
      </c>
      <c r="R131" s="6">
        <v>0.0</v>
      </c>
      <c r="S131" s="6">
        <v>1.0</v>
      </c>
      <c r="T131" s="6">
        <v>0.0</v>
      </c>
      <c r="U131" s="6">
        <v>1.0</v>
      </c>
      <c r="V131" s="6">
        <v>1.0</v>
      </c>
      <c r="W131" s="6">
        <v>0.0</v>
      </c>
      <c r="X131" s="6">
        <v>1.0</v>
      </c>
      <c r="Y131" s="6">
        <v>0.0</v>
      </c>
      <c r="Z131" s="6">
        <v>0.0</v>
      </c>
      <c r="AA131" s="6">
        <v>0.0</v>
      </c>
      <c r="AB131" s="6">
        <v>1.0</v>
      </c>
      <c r="AC131" s="6">
        <v>0.0</v>
      </c>
      <c r="AD131" s="6">
        <v>0.0</v>
      </c>
      <c r="AE131" s="6">
        <v>1.0</v>
      </c>
      <c r="AF131" s="6">
        <v>1.0</v>
      </c>
      <c r="AG131" s="6">
        <v>1.0</v>
      </c>
      <c r="AH131" s="6">
        <v>1.0</v>
      </c>
      <c r="AI131" s="6">
        <v>0.0</v>
      </c>
      <c r="AJ131" s="6">
        <v>1.0</v>
      </c>
      <c r="AL131" s="6">
        <f t="shared" si="22"/>
        <v>0.4995541684</v>
      </c>
      <c r="AN131" s="6">
        <f t="shared" si="23"/>
        <v>14</v>
      </c>
    </row>
    <row r="132">
      <c r="B132" s="8" t="s">
        <v>20</v>
      </c>
      <c r="C132" s="6">
        <v>1.0</v>
      </c>
      <c r="D132" s="6">
        <v>0.0</v>
      </c>
      <c r="E132" s="6">
        <v>1.0</v>
      </c>
      <c r="F132" s="6">
        <v>0.0</v>
      </c>
      <c r="G132" s="6">
        <v>1.0</v>
      </c>
      <c r="H132" s="6">
        <v>0.0</v>
      </c>
      <c r="I132" s="6">
        <v>1.0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1.0</v>
      </c>
      <c r="R132" s="6">
        <v>1.0</v>
      </c>
      <c r="S132" s="6">
        <v>1.0</v>
      </c>
      <c r="T132" s="6">
        <v>1.0</v>
      </c>
      <c r="U132" s="6">
        <v>1.0</v>
      </c>
      <c r="V132" s="6">
        <v>0.0</v>
      </c>
      <c r="W132" s="6">
        <v>1.0</v>
      </c>
      <c r="X132" s="6">
        <v>1.0</v>
      </c>
      <c r="Y132" s="6">
        <v>1.0</v>
      </c>
      <c r="Z132" s="6">
        <v>0.0</v>
      </c>
      <c r="AA132" s="6">
        <v>1.0</v>
      </c>
      <c r="AB132" s="6">
        <v>1.0</v>
      </c>
      <c r="AC132" s="6">
        <v>0.0</v>
      </c>
      <c r="AD132" s="6">
        <v>1.0</v>
      </c>
      <c r="AE132" s="6">
        <v>1.0</v>
      </c>
      <c r="AF132" s="6">
        <v>0.0</v>
      </c>
      <c r="AG132" s="6">
        <v>0.0</v>
      </c>
      <c r="AH132" s="6">
        <v>1.0</v>
      </c>
      <c r="AI132" s="6">
        <v>0.0</v>
      </c>
      <c r="AJ132" s="6">
        <v>1.0</v>
      </c>
      <c r="AL132" s="6">
        <f t="shared" si="22"/>
        <v>0.5066403971</v>
      </c>
      <c r="AN132" s="6">
        <f t="shared" si="23"/>
        <v>18</v>
      </c>
    </row>
    <row r="133">
      <c r="B133" s="8" t="s">
        <v>21</v>
      </c>
      <c r="C133" s="6">
        <v>1.0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  <c r="V133" s="6">
        <v>1.0</v>
      </c>
      <c r="W133" s="6">
        <v>0.0</v>
      </c>
      <c r="X133" s="6">
        <v>0.0</v>
      </c>
      <c r="Y133" s="6">
        <v>0.0</v>
      </c>
      <c r="Z133" s="6">
        <v>0.0</v>
      </c>
      <c r="AA133" s="6">
        <v>0.0</v>
      </c>
      <c r="AB133" s="6">
        <v>1.0</v>
      </c>
      <c r="AC133" s="6">
        <v>0.0</v>
      </c>
      <c r="AD133" s="6">
        <v>1.0</v>
      </c>
      <c r="AE133" s="6">
        <v>1.0</v>
      </c>
      <c r="AF133" s="6">
        <v>1.0</v>
      </c>
      <c r="AG133" s="6">
        <v>1.0</v>
      </c>
      <c r="AH133" s="6">
        <v>1.0</v>
      </c>
      <c r="AI133" s="6">
        <v>0.0</v>
      </c>
      <c r="AJ133" s="6">
        <v>0.0</v>
      </c>
      <c r="AL133" s="6">
        <f t="shared" si="22"/>
        <v>0.4305615452</v>
      </c>
      <c r="AN133" s="6">
        <f t="shared" si="23"/>
        <v>8</v>
      </c>
    </row>
    <row r="134">
      <c r="B134" s="8" t="s">
        <v>22</v>
      </c>
      <c r="C134" s="6">
        <v>1.0</v>
      </c>
      <c r="D134" s="6">
        <v>1.0</v>
      </c>
      <c r="E134" s="6">
        <v>0.0</v>
      </c>
      <c r="F134" s="6">
        <v>1.0</v>
      </c>
      <c r="G134" s="6">
        <v>0.0</v>
      </c>
      <c r="H134" s="6">
        <v>1.0</v>
      </c>
      <c r="I134" s="6">
        <v>0.0</v>
      </c>
      <c r="J134" s="6">
        <v>1.0</v>
      </c>
      <c r="K134" s="6">
        <v>0.0</v>
      </c>
      <c r="L134" s="6">
        <v>0.0</v>
      </c>
      <c r="M134" s="6">
        <v>0.0</v>
      </c>
      <c r="N134" s="6">
        <v>1.0</v>
      </c>
      <c r="O134" s="6">
        <v>0.0</v>
      </c>
      <c r="P134" s="6">
        <v>1.0</v>
      </c>
      <c r="Q134" s="6">
        <v>1.0</v>
      </c>
      <c r="R134" s="6">
        <v>1.0</v>
      </c>
      <c r="S134" s="6">
        <v>1.0</v>
      </c>
      <c r="T134" s="6">
        <v>0.0</v>
      </c>
      <c r="U134" s="6">
        <v>1.0</v>
      </c>
      <c r="V134" s="6">
        <v>1.0</v>
      </c>
      <c r="W134" s="6">
        <v>1.0</v>
      </c>
      <c r="X134" s="6">
        <v>1.0</v>
      </c>
      <c r="Y134" s="6">
        <v>1.0</v>
      </c>
      <c r="Z134" s="6">
        <v>1.0</v>
      </c>
      <c r="AA134" s="6">
        <v>1.0</v>
      </c>
      <c r="AB134" s="6">
        <v>1.0</v>
      </c>
      <c r="AC134" s="6">
        <v>1.0</v>
      </c>
      <c r="AD134" s="6">
        <v>1.0</v>
      </c>
      <c r="AE134" s="6">
        <v>0.0</v>
      </c>
      <c r="AF134" s="6">
        <v>1.0</v>
      </c>
      <c r="AG134" s="6">
        <v>1.0</v>
      </c>
      <c r="AH134" s="6">
        <v>1.0</v>
      </c>
      <c r="AI134" s="6">
        <v>0.0</v>
      </c>
      <c r="AJ134" s="6">
        <v>1.0</v>
      </c>
      <c r="AL134" s="6">
        <f t="shared" si="22"/>
        <v>0.4624972901</v>
      </c>
      <c r="AN134" s="6">
        <f t="shared" si="23"/>
        <v>24</v>
      </c>
    </row>
    <row r="135">
      <c r="B135" s="8" t="s">
        <v>23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1.0</v>
      </c>
      <c r="I135" s="6">
        <v>1.0</v>
      </c>
      <c r="J135" s="6">
        <v>1.0</v>
      </c>
      <c r="K135" s="6">
        <v>1.0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1.0</v>
      </c>
      <c r="R135" s="6">
        <v>0.0</v>
      </c>
      <c r="S135" s="6">
        <v>0.0</v>
      </c>
      <c r="T135" s="6">
        <v>0.0</v>
      </c>
      <c r="U135" s="6">
        <v>1.0</v>
      </c>
      <c r="V135" s="6">
        <v>1.0</v>
      </c>
      <c r="W135" s="6">
        <v>0.0</v>
      </c>
      <c r="X135" s="6">
        <v>0.0</v>
      </c>
      <c r="Y135" s="6">
        <v>0.0</v>
      </c>
      <c r="Z135" s="6">
        <v>0.0</v>
      </c>
      <c r="AA135" s="6">
        <v>0.0</v>
      </c>
      <c r="AB135" s="6">
        <v>1.0</v>
      </c>
      <c r="AC135" s="6">
        <v>0.0</v>
      </c>
      <c r="AD135" s="6">
        <v>1.0</v>
      </c>
      <c r="AE135" s="6">
        <v>1.0</v>
      </c>
      <c r="AF135" s="6">
        <v>0.0</v>
      </c>
      <c r="AG135" s="6">
        <v>0.0</v>
      </c>
      <c r="AH135" s="6">
        <v>1.0</v>
      </c>
      <c r="AI135" s="6">
        <v>0.0</v>
      </c>
      <c r="AJ135" s="6">
        <v>1.0</v>
      </c>
      <c r="AL135" s="6">
        <f t="shared" si="22"/>
        <v>0.4850712501</v>
      </c>
      <c r="AN135" s="6">
        <f t="shared" si="23"/>
        <v>12</v>
      </c>
    </row>
    <row r="136">
      <c r="B136" s="8" t="s">
        <v>24</v>
      </c>
      <c r="C136" s="6">
        <v>0.0</v>
      </c>
      <c r="D136" s="6">
        <v>1.0</v>
      </c>
      <c r="E136" s="6">
        <v>0.0</v>
      </c>
      <c r="F136" s="6">
        <v>0.0</v>
      </c>
      <c r="G136" s="6">
        <v>0.0</v>
      </c>
      <c r="H136" s="6">
        <v>1.0</v>
      </c>
      <c r="I136" s="6">
        <v>0.0</v>
      </c>
      <c r="J136" s="6">
        <v>1.0</v>
      </c>
      <c r="K136" s="6">
        <v>0.0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0.0</v>
      </c>
      <c r="R136" s="6">
        <v>0.0</v>
      </c>
      <c r="S136" s="6">
        <v>0.0</v>
      </c>
      <c r="T136" s="6">
        <v>0.0</v>
      </c>
      <c r="U136" s="6">
        <v>0.0</v>
      </c>
      <c r="V136" s="6">
        <v>0.0</v>
      </c>
      <c r="W136" s="6">
        <v>0.0</v>
      </c>
      <c r="X136" s="6">
        <v>0.0</v>
      </c>
      <c r="Y136" s="6">
        <v>1.0</v>
      </c>
      <c r="Z136" s="6">
        <v>1.0</v>
      </c>
      <c r="AA136" s="6">
        <v>1.0</v>
      </c>
      <c r="AB136" s="6">
        <v>0.0</v>
      </c>
      <c r="AC136" s="6">
        <v>0.0</v>
      </c>
      <c r="AD136" s="6">
        <v>0.0</v>
      </c>
      <c r="AE136" s="6">
        <v>0.0</v>
      </c>
      <c r="AF136" s="6">
        <v>0.0</v>
      </c>
      <c r="AG136" s="6">
        <v>0.0</v>
      </c>
      <c r="AH136" s="6">
        <v>1.0</v>
      </c>
      <c r="AI136" s="6">
        <v>0.0</v>
      </c>
      <c r="AJ136" s="6">
        <v>1.0</v>
      </c>
      <c r="AL136" s="6">
        <f t="shared" si="22"/>
        <v>0.4305615452</v>
      </c>
      <c r="AN136" s="6">
        <f t="shared" si="23"/>
        <v>8</v>
      </c>
    </row>
    <row r="137">
      <c r="B137" s="8" t="s">
        <v>25</v>
      </c>
      <c r="C137" s="6">
        <v>0.0</v>
      </c>
      <c r="D137" s="6">
        <v>1.0</v>
      </c>
      <c r="E137" s="6">
        <v>0.0</v>
      </c>
      <c r="F137" s="6">
        <v>0.0</v>
      </c>
      <c r="G137" s="6">
        <v>0.0</v>
      </c>
      <c r="H137" s="6">
        <v>1.0</v>
      </c>
      <c r="I137" s="6">
        <v>0.0</v>
      </c>
      <c r="J137" s="6">
        <v>1.0</v>
      </c>
      <c r="K137" s="6">
        <v>0.0</v>
      </c>
      <c r="L137" s="6">
        <v>0.0</v>
      </c>
      <c r="M137" s="6">
        <v>0.0</v>
      </c>
      <c r="N137" s="6">
        <v>1.0</v>
      </c>
      <c r="O137" s="6">
        <v>0.0</v>
      </c>
      <c r="P137" s="6">
        <v>0.0</v>
      </c>
      <c r="Q137" s="6">
        <v>1.0</v>
      </c>
      <c r="R137" s="6">
        <v>1.0</v>
      </c>
      <c r="S137" s="6">
        <v>1.0</v>
      </c>
      <c r="T137" s="6">
        <v>0.0</v>
      </c>
      <c r="U137" s="6">
        <v>0.0</v>
      </c>
      <c r="V137" s="6">
        <v>1.0</v>
      </c>
      <c r="W137" s="6">
        <v>0.0</v>
      </c>
      <c r="X137" s="6">
        <v>1.0</v>
      </c>
      <c r="Y137" s="6">
        <v>1.0</v>
      </c>
      <c r="Z137" s="6">
        <v>1.0</v>
      </c>
      <c r="AA137" s="6">
        <v>1.0</v>
      </c>
      <c r="AB137" s="6">
        <v>1.0</v>
      </c>
      <c r="AC137" s="6">
        <v>1.0</v>
      </c>
      <c r="AD137" s="6">
        <v>0.0</v>
      </c>
      <c r="AE137" s="6">
        <v>0.0</v>
      </c>
      <c r="AF137" s="6">
        <v>0.0</v>
      </c>
      <c r="AG137" s="6">
        <v>0.0</v>
      </c>
      <c r="AH137" s="6">
        <v>1.0</v>
      </c>
      <c r="AI137" s="6">
        <v>1.0</v>
      </c>
      <c r="AJ137" s="6">
        <v>1.0</v>
      </c>
      <c r="AL137" s="6">
        <f t="shared" si="22"/>
        <v>0.5075192189</v>
      </c>
      <c r="AN137" s="6">
        <f t="shared" si="23"/>
        <v>17</v>
      </c>
    </row>
    <row r="138">
      <c r="B138" s="8" t="s">
        <v>26</v>
      </c>
      <c r="C138" s="6">
        <v>1.0</v>
      </c>
      <c r="D138" s="6">
        <v>1.0</v>
      </c>
      <c r="E138" s="6">
        <v>1.0</v>
      </c>
      <c r="F138" s="6">
        <v>1.0</v>
      </c>
      <c r="G138" s="6">
        <v>0.0</v>
      </c>
      <c r="H138" s="6">
        <v>0.0</v>
      </c>
      <c r="I138" s="6">
        <v>1.0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  <c r="O138" s="6">
        <v>0.0</v>
      </c>
      <c r="P138" s="6">
        <v>1.0</v>
      </c>
      <c r="Q138" s="6">
        <v>1.0</v>
      </c>
      <c r="R138" s="6">
        <v>0.0</v>
      </c>
      <c r="S138" s="6">
        <v>0.0</v>
      </c>
      <c r="T138" s="6">
        <v>0.0</v>
      </c>
      <c r="U138" s="6">
        <v>1.0</v>
      </c>
      <c r="V138" s="6">
        <v>1.0</v>
      </c>
      <c r="W138" s="6">
        <v>1.0</v>
      </c>
      <c r="X138" s="6">
        <v>0.0</v>
      </c>
      <c r="Y138" s="6">
        <v>1.0</v>
      </c>
      <c r="Z138" s="6">
        <v>0.0</v>
      </c>
      <c r="AA138" s="6">
        <v>1.0</v>
      </c>
      <c r="AB138" s="6">
        <v>1.0</v>
      </c>
      <c r="AC138" s="6">
        <v>0.0</v>
      </c>
      <c r="AD138" s="6">
        <v>1.0</v>
      </c>
      <c r="AE138" s="6">
        <v>0.0</v>
      </c>
      <c r="AF138" s="6">
        <v>0.0</v>
      </c>
      <c r="AG138" s="6">
        <v>0.0</v>
      </c>
      <c r="AH138" s="6">
        <v>1.0</v>
      </c>
      <c r="AI138" s="6">
        <v>0.0</v>
      </c>
      <c r="AJ138" s="6">
        <v>1.0</v>
      </c>
      <c r="AL138" s="6">
        <f t="shared" si="22"/>
        <v>0.5066403971</v>
      </c>
      <c r="AN138" s="6">
        <f t="shared" si="23"/>
        <v>16</v>
      </c>
    </row>
    <row r="139">
      <c r="B139" s="9" t="s">
        <v>27</v>
      </c>
      <c r="C139" s="6">
        <v>1.0</v>
      </c>
      <c r="D139" s="6">
        <v>1.0</v>
      </c>
      <c r="E139" s="6">
        <v>0.0</v>
      </c>
      <c r="F139" s="6">
        <v>1.0</v>
      </c>
      <c r="G139" s="6">
        <v>0.0</v>
      </c>
      <c r="H139" s="6">
        <v>1.0</v>
      </c>
      <c r="I139" s="6">
        <v>1.0</v>
      </c>
      <c r="J139" s="6">
        <v>1.0</v>
      </c>
      <c r="K139" s="6">
        <v>0.0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0.0</v>
      </c>
      <c r="R139" s="6">
        <v>0.0</v>
      </c>
      <c r="S139" s="6">
        <v>1.0</v>
      </c>
      <c r="T139" s="6">
        <v>0.0</v>
      </c>
      <c r="U139" s="6">
        <v>0.0</v>
      </c>
      <c r="V139" s="6">
        <v>0.0</v>
      </c>
      <c r="W139" s="6">
        <v>0.0</v>
      </c>
      <c r="X139" s="6">
        <v>0.0</v>
      </c>
      <c r="Y139" s="6">
        <v>1.0</v>
      </c>
      <c r="Z139" s="6">
        <v>0.0</v>
      </c>
      <c r="AA139" s="6">
        <v>0.0</v>
      </c>
      <c r="AB139" s="6">
        <v>0.0</v>
      </c>
      <c r="AC139" s="6">
        <v>0.0</v>
      </c>
      <c r="AD139" s="6">
        <v>0.0</v>
      </c>
      <c r="AE139" s="6">
        <v>0.0</v>
      </c>
      <c r="AF139" s="6">
        <v>0.0</v>
      </c>
      <c r="AG139" s="6">
        <v>0.0</v>
      </c>
      <c r="AH139" s="6">
        <v>0.0</v>
      </c>
      <c r="AI139" s="6">
        <v>0.0</v>
      </c>
      <c r="AJ139" s="6">
        <v>1.0</v>
      </c>
      <c r="AL139" s="6">
        <f t="shared" si="22"/>
        <v>0.4478110755</v>
      </c>
      <c r="AN139" s="6">
        <f t="shared" si="23"/>
        <v>9</v>
      </c>
    </row>
    <row r="140">
      <c r="B140" s="9" t="s">
        <v>28</v>
      </c>
      <c r="C140" s="6">
        <v>0.0</v>
      </c>
      <c r="D140" s="6">
        <v>1.0</v>
      </c>
      <c r="E140" s="6">
        <v>0.0</v>
      </c>
      <c r="F140" s="6">
        <v>0.0</v>
      </c>
      <c r="G140" s="6">
        <v>0.0</v>
      </c>
      <c r="H140" s="6">
        <v>1.0</v>
      </c>
      <c r="I140" s="6">
        <v>1.0</v>
      </c>
      <c r="J140" s="6">
        <v>1.0</v>
      </c>
      <c r="K140" s="6">
        <v>0.0</v>
      </c>
      <c r="L140" s="6">
        <v>1.0</v>
      </c>
      <c r="M140" s="6">
        <v>0.0</v>
      </c>
      <c r="N140" s="6">
        <v>1.0</v>
      </c>
      <c r="O140" s="6">
        <v>0.0</v>
      </c>
      <c r="P140" s="6">
        <v>0.0</v>
      </c>
      <c r="Q140" s="6">
        <v>1.0</v>
      </c>
      <c r="R140" s="6">
        <v>0.0</v>
      </c>
      <c r="S140" s="6">
        <v>1.0</v>
      </c>
      <c r="T140" s="6">
        <v>1.0</v>
      </c>
      <c r="U140" s="6">
        <v>1.0</v>
      </c>
      <c r="V140" s="6">
        <v>0.0</v>
      </c>
      <c r="W140" s="6">
        <v>0.0</v>
      </c>
      <c r="X140" s="6">
        <v>1.0</v>
      </c>
      <c r="Y140" s="6">
        <v>1.0</v>
      </c>
      <c r="Z140" s="6">
        <v>1.0</v>
      </c>
      <c r="AA140" s="6">
        <v>1.0</v>
      </c>
      <c r="AB140" s="6">
        <v>1.0</v>
      </c>
      <c r="AC140" s="6">
        <v>1.0</v>
      </c>
      <c r="AD140" s="6">
        <v>0.0</v>
      </c>
      <c r="AE140" s="6">
        <v>1.0</v>
      </c>
      <c r="AF140" s="6">
        <v>0.0</v>
      </c>
      <c r="AG140" s="6">
        <v>1.0</v>
      </c>
      <c r="AH140" s="6">
        <v>1.0</v>
      </c>
      <c r="AI140" s="6">
        <v>1.0</v>
      </c>
      <c r="AJ140" s="6">
        <v>1.0</v>
      </c>
      <c r="AL140" s="6">
        <f t="shared" si="22"/>
        <v>0.4932702181</v>
      </c>
      <c r="AN140" s="6">
        <f t="shared" si="23"/>
        <v>21</v>
      </c>
    </row>
    <row r="141">
      <c r="B141" s="8" t="s">
        <v>29</v>
      </c>
      <c r="C141" s="6">
        <v>1.0</v>
      </c>
      <c r="D141" s="6">
        <v>1.0</v>
      </c>
      <c r="E141" s="6">
        <v>0.0</v>
      </c>
      <c r="F141" s="6">
        <v>1.0</v>
      </c>
      <c r="G141" s="6">
        <v>0.0</v>
      </c>
      <c r="H141" s="6">
        <v>1.0</v>
      </c>
      <c r="I141" s="6">
        <v>0.0</v>
      </c>
      <c r="J141" s="6">
        <v>0.0</v>
      </c>
      <c r="K141" s="6">
        <v>0.0</v>
      </c>
      <c r="L141" s="6">
        <v>0.0</v>
      </c>
      <c r="M141" s="6">
        <v>1.0</v>
      </c>
      <c r="N141" s="6">
        <v>0.0</v>
      </c>
      <c r="O141" s="6">
        <v>0.0</v>
      </c>
      <c r="P141" s="6">
        <v>0.0</v>
      </c>
      <c r="Q141" s="6">
        <v>1.0</v>
      </c>
      <c r="R141" s="6">
        <v>1.0</v>
      </c>
      <c r="S141" s="6">
        <v>1.0</v>
      </c>
      <c r="T141" s="6">
        <v>0.0</v>
      </c>
      <c r="U141" s="6">
        <v>1.0</v>
      </c>
      <c r="V141" s="6">
        <v>1.0</v>
      </c>
      <c r="W141" s="6">
        <v>0.0</v>
      </c>
      <c r="X141" s="6">
        <v>0.0</v>
      </c>
      <c r="Y141" s="6">
        <v>1.0</v>
      </c>
      <c r="Z141" s="6">
        <v>1.0</v>
      </c>
      <c r="AA141" s="6">
        <v>1.0</v>
      </c>
      <c r="AB141" s="6">
        <v>1.0</v>
      </c>
      <c r="AC141" s="6">
        <v>0.0</v>
      </c>
      <c r="AD141" s="6">
        <v>1.0</v>
      </c>
      <c r="AE141" s="6">
        <v>0.0</v>
      </c>
      <c r="AF141" s="6">
        <v>0.0</v>
      </c>
      <c r="AG141" s="6">
        <v>0.0</v>
      </c>
      <c r="AH141" s="6">
        <v>1.0</v>
      </c>
      <c r="AI141" s="6">
        <v>1.0</v>
      </c>
      <c r="AJ141" s="6">
        <v>1.0</v>
      </c>
      <c r="AL141" s="6">
        <f t="shared" si="22"/>
        <v>0.5066403971</v>
      </c>
      <c r="AN141" s="6">
        <f t="shared" si="23"/>
        <v>18</v>
      </c>
    </row>
    <row r="142">
      <c r="B142" s="8" t="s">
        <v>30</v>
      </c>
      <c r="C142" s="6">
        <v>1.0</v>
      </c>
      <c r="D142" s="6">
        <v>1.0</v>
      </c>
      <c r="E142" s="6">
        <v>1.0</v>
      </c>
      <c r="F142" s="6">
        <v>0.0</v>
      </c>
      <c r="G142" s="6">
        <v>0.0</v>
      </c>
      <c r="H142" s="6">
        <v>1.0</v>
      </c>
      <c r="I142" s="6">
        <v>1.0</v>
      </c>
      <c r="J142" s="6">
        <v>1.0</v>
      </c>
      <c r="K142" s="6">
        <v>0.0</v>
      </c>
      <c r="L142" s="6">
        <v>0.0</v>
      </c>
      <c r="M142" s="6">
        <v>0.0</v>
      </c>
      <c r="N142" s="6">
        <v>1.0</v>
      </c>
      <c r="O142" s="6">
        <v>0.0</v>
      </c>
      <c r="P142" s="6">
        <v>0.0</v>
      </c>
      <c r="Q142" s="6">
        <v>0.0</v>
      </c>
      <c r="R142" s="6">
        <v>1.0</v>
      </c>
      <c r="S142" s="6">
        <v>0.0</v>
      </c>
      <c r="T142" s="6">
        <v>1.0</v>
      </c>
      <c r="U142" s="6">
        <v>0.0</v>
      </c>
      <c r="V142" s="6">
        <v>0.0</v>
      </c>
      <c r="W142" s="6">
        <v>1.0</v>
      </c>
      <c r="X142" s="6">
        <v>1.0</v>
      </c>
      <c r="Y142" s="6">
        <v>1.0</v>
      </c>
      <c r="Z142" s="6">
        <v>1.0</v>
      </c>
      <c r="AA142" s="6">
        <v>1.0</v>
      </c>
      <c r="AB142" s="6">
        <v>0.0</v>
      </c>
      <c r="AC142" s="6">
        <v>1.0</v>
      </c>
      <c r="AD142" s="6">
        <v>0.0</v>
      </c>
      <c r="AE142" s="6">
        <v>0.0</v>
      </c>
      <c r="AF142" s="6">
        <v>1.0</v>
      </c>
      <c r="AG142" s="6">
        <v>0.0</v>
      </c>
      <c r="AH142" s="6">
        <v>1.0</v>
      </c>
      <c r="AI142" s="6">
        <v>0.0</v>
      </c>
      <c r="AJ142" s="6">
        <v>1.0</v>
      </c>
      <c r="AL142" s="6">
        <f t="shared" si="22"/>
        <v>0.5066403971</v>
      </c>
      <c r="AN142" s="6">
        <f t="shared" si="23"/>
        <v>18</v>
      </c>
    </row>
    <row r="143">
      <c r="B143" s="8" t="s">
        <v>31</v>
      </c>
      <c r="C143" s="6">
        <v>1.0</v>
      </c>
      <c r="D143" s="6">
        <v>1.0</v>
      </c>
      <c r="E143" s="6">
        <v>0.0</v>
      </c>
      <c r="F143" s="6">
        <v>0.0</v>
      </c>
      <c r="G143" s="6">
        <v>1.0</v>
      </c>
      <c r="H143" s="6">
        <v>0.0</v>
      </c>
      <c r="I143" s="6">
        <v>0.0</v>
      </c>
      <c r="J143" s="6">
        <v>1.0</v>
      </c>
      <c r="K143" s="6">
        <v>1.0</v>
      </c>
      <c r="L143" s="6">
        <v>0.0</v>
      </c>
      <c r="M143" s="6">
        <v>0.0</v>
      </c>
      <c r="N143" s="6">
        <v>0.0</v>
      </c>
      <c r="O143" s="6">
        <v>0.0</v>
      </c>
      <c r="P143" s="6">
        <v>1.0</v>
      </c>
      <c r="Q143" s="6">
        <v>0.0</v>
      </c>
      <c r="R143" s="6">
        <v>1.0</v>
      </c>
      <c r="S143" s="6">
        <v>0.0</v>
      </c>
      <c r="T143" s="6">
        <v>0.0</v>
      </c>
      <c r="U143" s="6">
        <v>1.0</v>
      </c>
      <c r="V143" s="6">
        <v>1.0</v>
      </c>
      <c r="W143" s="6">
        <v>1.0</v>
      </c>
      <c r="X143" s="6">
        <v>1.0</v>
      </c>
      <c r="Y143" s="6">
        <v>1.0</v>
      </c>
      <c r="Z143" s="6">
        <v>1.0</v>
      </c>
      <c r="AA143" s="6">
        <v>1.0</v>
      </c>
      <c r="AB143" s="6">
        <v>1.0</v>
      </c>
      <c r="AC143" s="6">
        <v>0.0</v>
      </c>
      <c r="AD143" s="6">
        <v>0.0</v>
      </c>
      <c r="AE143" s="6">
        <v>1.0</v>
      </c>
      <c r="AF143" s="6">
        <v>0.0</v>
      </c>
      <c r="AG143" s="6">
        <v>1.0</v>
      </c>
      <c r="AH143" s="6">
        <v>1.0</v>
      </c>
      <c r="AI143" s="6">
        <v>0.0</v>
      </c>
      <c r="AJ143" s="6">
        <v>1.0</v>
      </c>
      <c r="AL143" s="6">
        <f t="shared" si="22"/>
        <v>0.5039947373</v>
      </c>
      <c r="AN143" s="6">
        <f t="shared" si="23"/>
        <v>19</v>
      </c>
    </row>
    <row r="144">
      <c r="B144" s="8" t="s">
        <v>32</v>
      </c>
      <c r="C144" s="6">
        <v>1.0</v>
      </c>
      <c r="D144" s="6">
        <v>1.0</v>
      </c>
      <c r="E144" s="6">
        <v>1.0</v>
      </c>
      <c r="F144" s="6">
        <v>1.0</v>
      </c>
      <c r="G144" s="6">
        <v>0.0</v>
      </c>
      <c r="H144" s="6">
        <v>1.0</v>
      </c>
      <c r="I144" s="6">
        <v>1.0</v>
      </c>
      <c r="J144" s="6">
        <v>1.0</v>
      </c>
      <c r="K144" s="6">
        <v>0.0</v>
      </c>
      <c r="L144" s="6">
        <v>0.0</v>
      </c>
      <c r="M144" s="6">
        <v>0.0</v>
      </c>
      <c r="N144" s="6">
        <v>1.0</v>
      </c>
      <c r="O144" s="6">
        <v>1.0</v>
      </c>
      <c r="P144" s="6">
        <v>0.0</v>
      </c>
      <c r="Q144" s="6">
        <v>0.0</v>
      </c>
      <c r="R144" s="6">
        <v>1.0</v>
      </c>
      <c r="S144" s="6">
        <v>1.0</v>
      </c>
      <c r="T144" s="6">
        <v>1.0</v>
      </c>
      <c r="U144" s="6">
        <v>1.0</v>
      </c>
      <c r="V144" s="6">
        <v>1.0</v>
      </c>
      <c r="W144" s="6">
        <v>1.0</v>
      </c>
      <c r="X144" s="6">
        <v>1.0</v>
      </c>
      <c r="Y144" s="6">
        <v>1.0</v>
      </c>
      <c r="Z144" s="6">
        <v>1.0</v>
      </c>
      <c r="AA144" s="6">
        <v>1.0</v>
      </c>
      <c r="AB144" s="6">
        <v>1.0</v>
      </c>
      <c r="AC144" s="6">
        <v>1.0</v>
      </c>
      <c r="AD144" s="6">
        <v>0.0</v>
      </c>
      <c r="AE144" s="6">
        <v>0.0</v>
      </c>
      <c r="AF144" s="6">
        <v>0.0</v>
      </c>
      <c r="AG144" s="6">
        <v>0.0</v>
      </c>
      <c r="AH144" s="6">
        <v>1.0</v>
      </c>
      <c r="AI144" s="6">
        <v>1.0</v>
      </c>
      <c r="AJ144" s="6">
        <v>1.0</v>
      </c>
      <c r="AL144" s="6">
        <f t="shared" si="22"/>
        <v>0.4624972901</v>
      </c>
      <c r="AN144" s="6">
        <f t="shared" si="23"/>
        <v>24</v>
      </c>
    </row>
    <row r="145">
      <c r="B145" s="8" t="s">
        <v>33</v>
      </c>
      <c r="C145" s="6">
        <v>0.0</v>
      </c>
      <c r="D145" s="6">
        <v>1.0</v>
      </c>
      <c r="E145" s="6">
        <v>1.0</v>
      </c>
      <c r="F145" s="6">
        <v>1.0</v>
      </c>
      <c r="G145" s="6">
        <v>0.0</v>
      </c>
      <c r="H145" s="6">
        <v>0.0</v>
      </c>
      <c r="I145" s="6">
        <v>0.0</v>
      </c>
      <c r="J145" s="6">
        <v>1.0</v>
      </c>
      <c r="K145" s="6">
        <v>1.0</v>
      </c>
      <c r="L145" s="6">
        <v>0.0</v>
      </c>
      <c r="M145" s="6">
        <v>1.0</v>
      </c>
      <c r="N145" s="6">
        <v>1.0</v>
      </c>
      <c r="O145" s="6">
        <v>1.0</v>
      </c>
      <c r="P145" s="6">
        <v>0.0</v>
      </c>
      <c r="Q145" s="6">
        <v>1.0</v>
      </c>
      <c r="R145" s="6">
        <v>1.0</v>
      </c>
      <c r="S145" s="6">
        <v>1.0</v>
      </c>
      <c r="T145" s="6">
        <v>1.0</v>
      </c>
      <c r="U145" s="6">
        <v>0.0</v>
      </c>
      <c r="V145" s="6">
        <v>0.0</v>
      </c>
      <c r="W145" s="6">
        <v>1.0</v>
      </c>
      <c r="X145" s="6">
        <v>1.0</v>
      </c>
      <c r="Y145" s="6">
        <v>1.0</v>
      </c>
      <c r="Z145" s="6">
        <v>1.0</v>
      </c>
      <c r="AA145" s="6">
        <v>1.0</v>
      </c>
      <c r="AB145" s="6">
        <v>1.0</v>
      </c>
      <c r="AC145" s="6">
        <v>1.0</v>
      </c>
      <c r="AD145" s="6">
        <v>0.0</v>
      </c>
      <c r="AE145" s="6">
        <v>0.0</v>
      </c>
      <c r="AF145" s="6">
        <v>0.0</v>
      </c>
      <c r="AG145" s="6">
        <v>0.0</v>
      </c>
      <c r="AH145" s="6">
        <v>1.0</v>
      </c>
      <c r="AI145" s="6">
        <v>0.0</v>
      </c>
      <c r="AJ145" s="6">
        <v>1.0</v>
      </c>
      <c r="AL145" s="6">
        <f t="shared" si="22"/>
        <v>0.4932702181</v>
      </c>
      <c r="AN145" s="6">
        <f t="shared" si="23"/>
        <v>21</v>
      </c>
    </row>
    <row r="146">
      <c r="B146" s="8" t="s">
        <v>34</v>
      </c>
      <c r="C146" s="6">
        <v>1.0</v>
      </c>
      <c r="D146" s="6">
        <v>1.0</v>
      </c>
      <c r="E146" s="6">
        <v>0.0</v>
      </c>
      <c r="F146" s="6">
        <v>0.0</v>
      </c>
      <c r="G146" s="6">
        <v>0.0</v>
      </c>
      <c r="H146" s="6">
        <v>1.0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1.0</v>
      </c>
      <c r="R146" s="6">
        <v>0.0</v>
      </c>
      <c r="S146" s="6">
        <v>1.0</v>
      </c>
      <c r="T146" s="6">
        <v>0.0</v>
      </c>
      <c r="U146" s="6">
        <v>1.0</v>
      </c>
      <c r="V146" s="6">
        <v>1.0</v>
      </c>
      <c r="W146" s="6">
        <v>0.0</v>
      </c>
      <c r="X146" s="6">
        <v>0.0</v>
      </c>
      <c r="Y146" s="6">
        <v>1.0</v>
      </c>
      <c r="Z146" s="6">
        <v>0.0</v>
      </c>
      <c r="AA146" s="6">
        <v>1.0</v>
      </c>
      <c r="AB146" s="6">
        <v>0.0</v>
      </c>
      <c r="AC146" s="6">
        <v>0.0</v>
      </c>
      <c r="AD146" s="6">
        <v>1.0</v>
      </c>
      <c r="AE146" s="6">
        <v>0.0</v>
      </c>
      <c r="AF146" s="6">
        <v>0.0</v>
      </c>
      <c r="AG146" s="6">
        <v>0.0</v>
      </c>
      <c r="AH146" s="6">
        <v>0.0</v>
      </c>
      <c r="AI146" s="6">
        <v>0.0</v>
      </c>
      <c r="AJ146" s="6">
        <v>1.0</v>
      </c>
      <c r="AL146" s="6">
        <f t="shared" si="22"/>
        <v>0.4748580799</v>
      </c>
      <c r="AN146" s="6">
        <f t="shared" si="23"/>
        <v>11</v>
      </c>
    </row>
    <row r="147">
      <c r="B147" s="8" t="s">
        <v>35</v>
      </c>
      <c r="C147" s="6">
        <v>0.0</v>
      </c>
      <c r="D147" s="6">
        <v>1.0</v>
      </c>
      <c r="E147" s="6">
        <v>1.0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6">
        <v>0.0</v>
      </c>
      <c r="P147" s="6">
        <v>1.0</v>
      </c>
      <c r="Q147" s="6">
        <v>1.0</v>
      </c>
      <c r="R147" s="6">
        <v>1.0</v>
      </c>
      <c r="S147" s="6">
        <v>0.0</v>
      </c>
      <c r="T147" s="6">
        <v>1.0</v>
      </c>
      <c r="U147" s="6">
        <v>0.0</v>
      </c>
      <c r="V147" s="6">
        <v>0.0</v>
      </c>
      <c r="W147" s="6">
        <v>1.0</v>
      </c>
      <c r="X147" s="6">
        <v>1.0</v>
      </c>
      <c r="Y147" s="6">
        <v>1.0</v>
      </c>
      <c r="Z147" s="6">
        <v>0.0</v>
      </c>
      <c r="AA147" s="6">
        <v>1.0</v>
      </c>
      <c r="AB147" s="6">
        <v>1.0</v>
      </c>
      <c r="AC147" s="6">
        <v>0.0</v>
      </c>
      <c r="AD147" s="6">
        <v>1.0</v>
      </c>
      <c r="AE147" s="6">
        <v>1.0</v>
      </c>
      <c r="AF147" s="6">
        <v>0.0</v>
      </c>
      <c r="AG147" s="6">
        <v>1.0</v>
      </c>
      <c r="AH147" s="6">
        <v>1.0</v>
      </c>
      <c r="AI147" s="6">
        <v>0.0</v>
      </c>
      <c r="AJ147" s="6">
        <v>1.0</v>
      </c>
      <c r="AL147" s="6">
        <f t="shared" si="22"/>
        <v>0.5066403971</v>
      </c>
      <c r="AN147" s="6">
        <f t="shared" si="23"/>
        <v>16</v>
      </c>
    </row>
    <row r="148">
      <c r="B148" s="8" t="s">
        <v>36</v>
      </c>
      <c r="C148" s="6">
        <v>1.0</v>
      </c>
      <c r="D148" s="6">
        <v>1.0</v>
      </c>
      <c r="E148" s="6">
        <v>0.0</v>
      </c>
      <c r="F148" s="6">
        <v>1.0</v>
      </c>
      <c r="G148" s="6">
        <v>0.0</v>
      </c>
      <c r="H148" s="6">
        <v>1.0</v>
      </c>
      <c r="I148" s="6">
        <v>0.0</v>
      </c>
      <c r="J148" s="6">
        <v>1.0</v>
      </c>
      <c r="K148" s="6">
        <v>0.0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1.0</v>
      </c>
      <c r="R148" s="6">
        <v>1.0</v>
      </c>
      <c r="S148" s="6">
        <v>0.0</v>
      </c>
      <c r="T148" s="6">
        <v>0.0</v>
      </c>
      <c r="U148" s="6">
        <v>0.0</v>
      </c>
      <c r="V148" s="6">
        <v>0.0</v>
      </c>
      <c r="W148" s="6">
        <v>0.0</v>
      </c>
      <c r="X148" s="6">
        <v>0.0</v>
      </c>
      <c r="Y148" s="6">
        <v>1.0</v>
      </c>
      <c r="Z148" s="6">
        <v>0.0</v>
      </c>
      <c r="AA148" s="6">
        <v>1.0</v>
      </c>
      <c r="AB148" s="6">
        <v>1.0</v>
      </c>
      <c r="AC148" s="6">
        <v>0.0</v>
      </c>
      <c r="AD148" s="6">
        <v>1.0</v>
      </c>
      <c r="AE148" s="6">
        <v>1.0</v>
      </c>
      <c r="AF148" s="6">
        <v>0.0</v>
      </c>
      <c r="AG148" s="6">
        <v>0.0</v>
      </c>
      <c r="AH148" s="6">
        <v>1.0</v>
      </c>
      <c r="AI148" s="6">
        <v>0.0</v>
      </c>
      <c r="AJ148" s="6">
        <v>0.0</v>
      </c>
      <c r="AL148" s="6">
        <f t="shared" si="22"/>
        <v>0.4932702181</v>
      </c>
      <c r="AN148" s="6">
        <f t="shared" si="23"/>
        <v>13</v>
      </c>
    </row>
    <row r="150">
      <c r="A150" s="24"/>
      <c r="B150" s="25" t="s">
        <v>129</v>
      </c>
      <c r="C150" s="26">
        <v>1.0</v>
      </c>
      <c r="D150" s="26">
        <v>2.0</v>
      </c>
      <c r="E150" s="26">
        <v>3.0</v>
      </c>
      <c r="F150" s="26">
        <v>4.0</v>
      </c>
      <c r="G150" s="26">
        <v>5.0</v>
      </c>
      <c r="H150" s="26">
        <v>6.0</v>
      </c>
      <c r="I150" s="26">
        <v>7.0</v>
      </c>
      <c r="J150" s="26">
        <v>8.0</v>
      </c>
      <c r="K150" s="26">
        <v>9.0</v>
      </c>
      <c r="L150" s="26">
        <v>10.0</v>
      </c>
      <c r="M150" s="26">
        <v>11.0</v>
      </c>
      <c r="N150" s="26">
        <v>12.0</v>
      </c>
      <c r="O150" s="26">
        <v>13.0</v>
      </c>
      <c r="P150" s="26">
        <v>14.0</v>
      </c>
      <c r="Q150" s="26">
        <v>15.0</v>
      </c>
      <c r="R150" s="26">
        <v>16.0</v>
      </c>
      <c r="S150" s="26">
        <v>17.0</v>
      </c>
      <c r="T150" s="26">
        <v>18.0</v>
      </c>
      <c r="U150" s="26">
        <v>19.0</v>
      </c>
      <c r="V150" s="26">
        <v>20.0</v>
      </c>
      <c r="W150" s="26">
        <v>21.0</v>
      </c>
      <c r="X150" s="26">
        <v>22.0</v>
      </c>
      <c r="Y150" s="24"/>
      <c r="Z150" s="27" t="s">
        <v>130</v>
      </c>
      <c r="AA150" s="24"/>
      <c r="AB150" s="26">
        <v>1.0</v>
      </c>
      <c r="AC150" s="26">
        <v>2.0</v>
      </c>
      <c r="AD150" s="26">
        <v>3.0</v>
      </c>
      <c r="AE150" s="26">
        <v>4.0</v>
      </c>
      <c r="AF150" s="26">
        <v>5.0</v>
      </c>
      <c r="AG150" s="26">
        <v>6.0</v>
      </c>
      <c r="AH150" s="26">
        <v>7.0</v>
      </c>
      <c r="AJ150" s="4">
        <v>90.0</v>
      </c>
      <c r="AL150" s="3" t="s">
        <v>131</v>
      </c>
      <c r="AM150" s="3" t="s">
        <v>132</v>
      </c>
      <c r="AO150" s="10" t="s">
        <v>54</v>
      </c>
      <c r="AQ150" s="10" t="s">
        <v>133</v>
      </c>
      <c r="AR150" s="10" t="s">
        <v>134</v>
      </c>
      <c r="AS150" s="10" t="s">
        <v>135</v>
      </c>
      <c r="AT150" s="10" t="s">
        <v>136</v>
      </c>
      <c r="AU150" s="10" t="s">
        <v>137</v>
      </c>
      <c r="AV150" s="10" t="s">
        <v>138</v>
      </c>
    </row>
    <row r="151">
      <c r="A151" s="24"/>
      <c r="B151" s="28" t="s">
        <v>2</v>
      </c>
      <c r="C151" s="29">
        <v>7.0</v>
      </c>
      <c r="D151" s="29">
        <v>6.0</v>
      </c>
      <c r="E151" s="29">
        <v>5.0</v>
      </c>
      <c r="F151" s="29">
        <v>5.0</v>
      </c>
      <c r="G151" s="29">
        <v>2.0</v>
      </c>
      <c r="H151" s="29">
        <v>5.0</v>
      </c>
      <c r="I151" s="29">
        <v>7.0</v>
      </c>
      <c r="J151" s="29">
        <v>5.0</v>
      </c>
      <c r="K151" s="29">
        <v>5.0</v>
      </c>
      <c r="L151" s="29">
        <v>6.0</v>
      </c>
      <c r="M151" s="29">
        <v>5.0</v>
      </c>
      <c r="N151" s="29">
        <v>5.0</v>
      </c>
      <c r="O151" s="29">
        <v>5.0</v>
      </c>
      <c r="P151" s="29">
        <v>1.0</v>
      </c>
      <c r="Q151" s="29">
        <v>1.0</v>
      </c>
      <c r="R151" s="29">
        <v>5.0</v>
      </c>
      <c r="S151" s="29">
        <v>2.0</v>
      </c>
      <c r="T151" s="29">
        <v>5.0</v>
      </c>
      <c r="U151" s="29">
        <v>5.0</v>
      </c>
      <c r="V151" s="29">
        <v>5.0</v>
      </c>
      <c r="W151" s="29">
        <v>5.0</v>
      </c>
      <c r="X151" s="29">
        <v>6.0</v>
      </c>
      <c r="Y151" s="24"/>
      <c r="Z151" s="24"/>
      <c r="AA151" s="24"/>
      <c r="AB151" s="29">
        <v>2.0</v>
      </c>
      <c r="AC151" s="29">
        <v>1.0</v>
      </c>
      <c r="AD151" s="29">
        <v>2.0</v>
      </c>
      <c r="AE151" s="29">
        <v>4.0</v>
      </c>
      <c r="AF151" s="29">
        <v>2.0</v>
      </c>
      <c r="AG151" s="29">
        <v>2.0</v>
      </c>
      <c r="AH151" s="29">
        <v>2.0</v>
      </c>
      <c r="AL151" s="29">
        <f>7-G151</f>
        <v>5</v>
      </c>
      <c r="AM151" s="29">
        <f>7-J151</f>
        <v>2</v>
      </c>
      <c r="AO151" s="6">
        <f t="shared" ref="AO151:AO220" si="25">STDEV(C151:X151,AB151:AH151)</f>
        <v>1.869511672</v>
      </c>
      <c r="AQ151" s="29">
        <f t="shared" ref="AQ151:AS151" si="24">E151</f>
        <v>5</v>
      </c>
      <c r="AR151" s="29">
        <f t="shared" si="24"/>
        <v>5</v>
      </c>
      <c r="AS151" s="29">
        <f t="shared" si="24"/>
        <v>2</v>
      </c>
      <c r="AT151" s="29">
        <f>sum(C151,D151,E151,AL151,H151,I151,AM151)</f>
        <v>37</v>
      </c>
      <c r="AU151" s="29">
        <f>sum(P151:T151)</f>
        <v>14</v>
      </c>
      <c r="AV151" s="29">
        <f>sum(U151:X151)</f>
        <v>21</v>
      </c>
    </row>
    <row r="152">
      <c r="A152" s="24"/>
      <c r="B152" s="24"/>
      <c r="C152" s="30">
        <v>75.0</v>
      </c>
      <c r="D152" s="30">
        <v>53.0</v>
      </c>
      <c r="E152" s="30">
        <v>76.0</v>
      </c>
      <c r="F152" s="30">
        <v>85.0</v>
      </c>
      <c r="G152" s="30">
        <v>74.0</v>
      </c>
      <c r="H152" s="30">
        <v>78.0</v>
      </c>
      <c r="I152" s="30">
        <v>82.0</v>
      </c>
      <c r="J152" s="30">
        <v>70.0</v>
      </c>
      <c r="K152" s="30">
        <v>49.0</v>
      </c>
      <c r="L152" s="30">
        <v>59.0</v>
      </c>
      <c r="M152" s="30">
        <v>82.0</v>
      </c>
      <c r="N152" s="30">
        <v>68.0</v>
      </c>
      <c r="O152" s="30">
        <v>76.0</v>
      </c>
      <c r="P152" s="30">
        <v>83.0</v>
      </c>
      <c r="Q152" s="30">
        <v>81.0</v>
      </c>
      <c r="R152" s="30">
        <v>63.0</v>
      </c>
      <c r="S152" s="30">
        <v>59.0</v>
      </c>
      <c r="T152" s="30">
        <v>67.0</v>
      </c>
      <c r="U152" s="30">
        <v>73.0</v>
      </c>
      <c r="V152" s="30">
        <v>86.0</v>
      </c>
      <c r="W152" s="30">
        <v>83.0</v>
      </c>
      <c r="X152" s="30">
        <v>74.0</v>
      </c>
      <c r="Y152" s="24"/>
      <c r="Z152" s="24"/>
      <c r="AA152" s="24"/>
      <c r="AB152" s="30">
        <v>75.0</v>
      </c>
      <c r="AC152" s="30">
        <v>82.0</v>
      </c>
      <c r="AD152" s="30">
        <v>80.0</v>
      </c>
      <c r="AE152" s="30">
        <v>63.0</v>
      </c>
      <c r="AF152" s="30">
        <v>75.0</v>
      </c>
      <c r="AG152" s="30">
        <v>81.0</v>
      </c>
      <c r="AH152" s="30">
        <v>79.0</v>
      </c>
      <c r="AL152" s="6"/>
      <c r="AM152" s="6"/>
      <c r="AO152" s="6">
        <f t="shared" si="25"/>
        <v>9.741738953</v>
      </c>
      <c r="AQ152" s="6"/>
      <c r="AR152" s="6"/>
      <c r="AS152" s="6"/>
      <c r="AT152" s="6"/>
      <c r="AU152" s="6"/>
      <c r="AV152" s="6"/>
    </row>
    <row r="153">
      <c r="A153" s="24"/>
      <c r="B153" s="28" t="s">
        <v>3</v>
      </c>
      <c r="C153" s="29">
        <v>2.0</v>
      </c>
      <c r="D153" s="29">
        <v>1.0</v>
      </c>
      <c r="E153" s="29">
        <v>2.0</v>
      </c>
      <c r="F153" s="29">
        <v>4.0</v>
      </c>
      <c r="G153" s="29">
        <v>4.0</v>
      </c>
      <c r="H153" s="29">
        <v>2.0</v>
      </c>
      <c r="I153" s="29">
        <v>4.0</v>
      </c>
      <c r="J153" s="29">
        <v>4.0</v>
      </c>
      <c r="K153" s="29">
        <v>4.0</v>
      </c>
      <c r="L153" s="29">
        <v>1.0</v>
      </c>
      <c r="M153" s="29">
        <v>5.0</v>
      </c>
      <c r="N153" s="29">
        <v>7.0</v>
      </c>
      <c r="O153" s="29">
        <v>2.0</v>
      </c>
      <c r="P153" s="29">
        <v>2.0</v>
      </c>
      <c r="Q153" s="29">
        <v>2.0</v>
      </c>
      <c r="R153" s="29">
        <v>2.0</v>
      </c>
      <c r="S153" s="29">
        <v>2.0</v>
      </c>
      <c r="T153" s="29">
        <v>2.0</v>
      </c>
      <c r="U153" s="29">
        <v>6.0</v>
      </c>
      <c r="V153" s="29">
        <v>3.0</v>
      </c>
      <c r="W153" s="29">
        <v>5.0</v>
      </c>
      <c r="X153" s="29">
        <v>2.0</v>
      </c>
      <c r="Y153" s="24"/>
      <c r="Z153" s="24"/>
      <c r="AA153" s="24"/>
      <c r="AB153" s="29">
        <v>1.0</v>
      </c>
      <c r="AC153" s="29">
        <v>1.0</v>
      </c>
      <c r="AD153" s="29">
        <v>2.0</v>
      </c>
      <c r="AE153" s="29">
        <v>2.0</v>
      </c>
      <c r="AF153" s="29">
        <v>4.0</v>
      </c>
      <c r="AG153" s="29">
        <v>6.0</v>
      </c>
      <c r="AH153" s="29">
        <v>4.0</v>
      </c>
      <c r="AL153" s="29">
        <f>7-G153</f>
        <v>3</v>
      </c>
      <c r="AM153" s="29">
        <f>7-J153</f>
        <v>3</v>
      </c>
      <c r="AO153" s="6">
        <f t="shared" si="25"/>
        <v>1.657941034</v>
      </c>
      <c r="AQ153" s="29">
        <f t="shared" ref="AQ153:AS153" si="26">E153</f>
        <v>2</v>
      </c>
      <c r="AR153" s="29">
        <f t="shared" si="26"/>
        <v>4</v>
      </c>
      <c r="AS153" s="29">
        <f t="shared" si="26"/>
        <v>4</v>
      </c>
      <c r="AT153" s="29">
        <f>sum(C153,D153,E153,AL153,H153,I153,AM153)</f>
        <v>17</v>
      </c>
      <c r="AU153" s="29">
        <f>sum(P153:T153)</f>
        <v>10</v>
      </c>
      <c r="AV153" s="29">
        <f>sum(U153:X153)</f>
        <v>16</v>
      </c>
    </row>
    <row r="154">
      <c r="A154" s="24"/>
      <c r="B154" s="24"/>
      <c r="C154" s="30">
        <v>66.0</v>
      </c>
      <c r="D154" s="30">
        <v>88.0</v>
      </c>
      <c r="E154" s="30">
        <v>73.0</v>
      </c>
      <c r="F154" s="30">
        <v>46.0</v>
      </c>
      <c r="G154" s="30">
        <v>43.0</v>
      </c>
      <c r="H154" s="30">
        <v>76.0</v>
      </c>
      <c r="I154" s="30">
        <v>46.0</v>
      </c>
      <c r="J154" s="30">
        <v>43.0</v>
      </c>
      <c r="K154" s="30">
        <v>44.0</v>
      </c>
      <c r="L154" s="30">
        <v>85.0</v>
      </c>
      <c r="M154" s="30">
        <v>61.0</v>
      </c>
      <c r="N154" s="30">
        <v>75.0</v>
      </c>
      <c r="O154" s="30">
        <v>79.0</v>
      </c>
      <c r="P154" s="30">
        <v>73.0</v>
      </c>
      <c r="Q154" s="30">
        <v>70.0</v>
      </c>
      <c r="R154" s="30">
        <v>83.0</v>
      </c>
      <c r="S154" s="30">
        <v>80.0</v>
      </c>
      <c r="T154" s="30">
        <v>82.0</v>
      </c>
      <c r="U154" s="30">
        <v>85.0</v>
      </c>
      <c r="V154" s="30">
        <v>68.0</v>
      </c>
      <c r="W154" s="30">
        <v>68.0</v>
      </c>
      <c r="X154" s="30">
        <v>80.0</v>
      </c>
      <c r="Y154" s="24"/>
      <c r="Z154" s="24"/>
      <c r="AA154" s="24"/>
      <c r="AB154" s="30">
        <v>90.0</v>
      </c>
      <c r="AC154" s="30">
        <v>90.0</v>
      </c>
      <c r="AD154" s="30">
        <v>65.0</v>
      </c>
      <c r="AE154" s="30">
        <v>90.0</v>
      </c>
      <c r="AF154" s="30">
        <v>44.0</v>
      </c>
      <c r="AG154" s="30">
        <v>71.0</v>
      </c>
      <c r="AH154" s="30">
        <v>50.0</v>
      </c>
      <c r="AL154" s="6"/>
      <c r="AM154" s="6"/>
      <c r="AO154" s="6">
        <f t="shared" si="25"/>
        <v>15.95884485</v>
      </c>
      <c r="AQ154" s="6"/>
      <c r="AR154" s="6"/>
      <c r="AS154" s="6"/>
      <c r="AT154" s="6"/>
      <c r="AU154" s="6"/>
      <c r="AV154" s="6"/>
    </row>
    <row r="155">
      <c r="A155" s="24"/>
      <c r="B155" s="28" t="s">
        <v>4</v>
      </c>
      <c r="C155" s="29">
        <v>5.0</v>
      </c>
      <c r="D155" s="29">
        <v>5.0</v>
      </c>
      <c r="E155" s="29">
        <v>2.0</v>
      </c>
      <c r="F155" s="29">
        <v>2.0</v>
      </c>
      <c r="G155" s="29">
        <v>6.0</v>
      </c>
      <c r="H155" s="29">
        <v>3.0</v>
      </c>
      <c r="I155" s="29">
        <v>2.0</v>
      </c>
      <c r="J155" s="29">
        <v>6.0</v>
      </c>
      <c r="K155" s="29">
        <v>6.0</v>
      </c>
      <c r="L155" s="29">
        <v>2.0</v>
      </c>
      <c r="M155" s="29">
        <v>6.0</v>
      </c>
      <c r="N155" s="29">
        <v>6.0</v>
      </c>
      <c r="O155" s="29">
        <v>6.0</v>
      </c>
      <c r="P155" s="29">
        <v>4.0</v>
      </c>
      <c r="Q155" s="29">
        <v>3.0</v>
      </c>
      <c r="R155" s="29">
        <v>4.0</v>
      </c>
      <c r="S155" s="29">
        <v>2.0</v>
      </c>
      <c r="T155" s="29">
        <v>4.0</v>
      </c>
      <c r="U155" s="29">
        <v>3.0</v>
      </c>
      <c r="V155" s="29">
        <v>5.0</v>
      </c>
      <c r="W155" s="29">
        <v>3.0</v>
      </c>
      <c r="X155" s="29">
        <v>4.0</v>
      </c>
      <c r="Y155" s="24"/>
      <c r="Z155" s="24"/>
      <c r="AA155" s="24"/>
      <c r="AB155" s="29">
        <v>1.0</v>
      </c>
      <c r="AC155" s="29">
        <v>1.0</v>
      </c>
      <c r="AD155" s="29">
        <v>1.0</v>
      </c>
      <c r="AE155" s="29">
        <v>2.0</v>
      </c>
      <c r="AF155" s="29">
        <v>2.0</v>
      </c>
      <c r="AG155" s="29">
        <v>2.0</v>
      </c>
      <c r="AH155" s="29">
        <v>3.0</v>
      </c>
      <c r="AL155" s="29">
        <f>7-G155</f>
        <v>1</v>
      </c>
      <c r="AM155" s="29">
        <f>7-J155</f>
        <v>1</v>
      </c>
      <c r="AO155" s="6">
        <f t="shared" si="25"/>
        <v>1.724211821</v>
      </c>
      <c r="AQ155" s="29">
        <f t="shared" ref="AQ155:AS155" si="27">E155</f>
        <v>2</v>
      </c>
      <c r="AR155" s="29">
        <f t="shared" si="27"/>
        <v>2</v>
      </c>
      <c r="AS155" s="29">
        <f t="shared" si="27"/>
        <v>6</v>
      </c>
      <c r="AT155" s="29">
        <f>sum(C155,D155,E155,AL155,H155,I155,AM155)</f>
        <v>19</v>
      </c>
      <c r="AU155" s="29">
        <f>sum(P155:T155)</f>
        <v>17</v>
      </c>
      <c r="AV155" s="29">
        <f>sum(U155:X155)</f>
        <v>15</v>
      </c>
    </row>
    <row r="156">
      <c r="A156" s="24"/>
      <c r="B156" s="24"/>
      <c r="C156" s="30">
        <v>64.0</v>
      </c>
      <c r="D156" s="30">
        <v>64.0</v>
      </c>
      <c r="E156" s="30">
        <v>69.0</v>
      </c>
      <c r="F156" s="30">
        <v>65.0</v>
      </c>
      <c r="G156" s="30">
        <v>67.0</v>
      </c>
      <c r="H156" s="30">
        <v>80.0</v>
      </c>
      <c r="I156" s="30">
        <v>77.0</v>
      </c>
      <c r="J156" s="30">
        <v>71.0</v>
      </c>
      <c r="K156" s="30">
        <v>75.0</v>
      </c>
      <c r="L156" s="30">
        <v>81.0</v>
      </c>
      <c r="M156" s="30">
        <v>75.0</v>
      </c>
      <c r="N156" s="30">
        <v>75.0</v>
      </c>
      <c r="O156" s="30">
        <v>74.0</v>
      </c>
      <c r="P156" s="30">
        <v>46.0</v>
      </c>
      <c r="Q156" s="30">
        <v>69.0</v>
      </c>
      <c r="R156" s="30">
        <v>48.0</v>
      </c>
      <c r="S156" s="30">
        <v>72.0</v>
      </c>
      <c r="T156" s="30">
        <v>48.0</v>
      </c>
      <c r="U156" s="30">
        <v>68.0</v>
      </c>
      <c r="V156" s="30">
        <v>55.0</v>
      </c>
      <c r="W156" s="30">
        <v>71.0</v>
      </c>
      <c r="X156" s="30">
        <v>47.0</v>
      </c>
      <c r="Y156" s="24"/>
      <c r="Z156" s="24"/>
      <c r="AA156" s="24"/>
      <c r="AB156" s="30">
        <v>82.0</v>
      </c>
      <c r="AC156" s="30">
        <v>85.0</v>
      </c>
      <c r="AD156" s="30">
        <v>86.0</v>
      </c>
      <c r="AE156" s="30">
        <v>70.0</v>
      </c>
      <c r="AF156" s="30">
        <v>72.0</v>
      </c>
      <c r="AG156" s="30">
        <v>76.0</v>
      </c>
      <c r="AH156" s="30">
        <v>47.0</v>
      </c>
      <c r="AL156" s="6"/>
      <c r="AM156" s="6"/>
      <c r="AO156" s="6">
        <f t="shared" si="25"/>
        <v>11.77362419</v>
      </c>
      <c r="AQ156" s="6"/>
      <c r="AR156" s="6"/>
      <c r="AS156" s="6"/>
      <c r="AT156" s="6"/>
      <c r="AU156" s="6"/>
      <c r="AV156" s="6"/>
    </row>
    <row r="157">
      <c r="A157" s="24"/>
      <c r="B157" s="28" t="s">
        <v>5</v>
      </c>
      <c r="C157" s="29">
        <v>7.0</v>
      </c>
      <c r="D157" s="29">
        <v>7.0</v>
      </c>
      <c r="E157" s="29">
        <v>5.0</v>
      </c>
      <c r="F157" s="29">
        <v>3.0</v>
      </c>
      <c r="G157" s="29">
        <v>3.0</v>
      </c>
      <c r="H157" s="29">
        <v>2.0</v>
      </c>
      <c r="I157" s="29">
        <v>7.0</v>
      </c>
      <c r="J157" s="29">
        <v>5.0</v>
      </c>
      <c r="K157" s="29">
        <v>5.0</v>
      </c>
      <c r="L157" s="29">
        <v>5.0</v>
      </c>
      <c r="M157" s="29">
        <v>6.0</v>
      </c>
      <c r="N157" s="29">
        <v>5.0</v>
      </c>
      <c r="O157" s="29">
        <v>5.0</v>
      </c>
      <c r="P157" s="29">
        <v>4.0</v>
      </c>
      <c r="Q157" s="29">
        <v>2.0</v>
      </c>
      <c r="R157" s="29">
        <v>5.0</v>
      </c>
      <c r="S157" s="29">
        <v>5.0</v>
      </c>
      <c r="T157" s="29">
        <v>5.0</v>
      </c>
      <c r="U157" s="29">
        <v>5.0</v>
      </c>
      <c r="V157" s="29">
        <v>6.0</v>
      </c>
      <c r="W157" s="29">
        <v>2.0</v>
      </c>
      <c r="X157" s="29">
        <v>3.0</v>
      </c>
      <c r="Y157" s="24"/>
      <c r="Z157" s="24"/>
      <c r="AA157" s="24"/>
      <c r="AB157" s="29">
        <v>3.0</v>
      </c>
      <c r="AC157" s="29">
        <v>2.0</v>
      </c>
      <c r="AD157" s="29">
        <v>2.0</v>
      </c>
      <c r="AE157" s="29">
        <v>5.0</v>
      </c>
      <c r="AF157" s="29">
        <v>5.0</v>
      </c>
      <c r="AG157" s="29">
        <v>5.0</v>
      </c>
      <c r="AH157" s="29">
        <v>5.0</v>
      </c>
      <c r="AL157" s="29">
        <f>7-G157</f>
        <v>4</v>
      </c>
      <c r="AM157" s="29">
        <f>7-J157</f>
        <v>2</v>
      </c>
      <c r="AO157" s="6">
        <f t="shared" si="25"/>
        <v>1.548875327</v>
      </c>
      <c r="AQ157" s="29">
        <f t="shared" ref="AQ157:AS157" si="28">E157</f>
        <v>5</v>
      </c>
      <c r="AR157" s="29">
        <f t="shared" si="28"/>
        <v>3</v>
      </c>
      <c r="AS157" s="29">
        <f t="shared" si="28"/>
        <v>3</v>
      </c>
      <c r="AT157" s="29">
        <f>sum(C157,D157,E157,AL157,H157,I157,AM157)</f>
        <v>34</v>
      </c>
      <c r="AU157" s="29">
        <f>sum(P157:T157)</f>
        <v>21</v>
      </c>
      <c r="AV157" s="29">
        <f>sum(U157:X157)</f>
        <v>16</v>
      </c>
    </row>
    <row r="158">
      <c r="A158" s="24"/>
      <c r="B158" s="24"/>
      <c r="C158" s="30">
        <v>59.0</v>
      </c>
      <c r="D158" s="30">
        <v>84.0</v>
      </c>
      <c r="E158" s="30">
        <v>90.0</v>
      </c>
      <c r="F158" s="30">
        <v>83.0</v>
      </c>
      <c r="G158" s="30">
        <v>89.0</v>
      </c>
      <c r="H158" s="30">
        <v>42.0</v>
      </c>
      <c r="I158" s="30">
        <v>80.0</v>
      </c>
      <c r="J158" s="30">
        <v>85.0</v>
      </c>
      <c r="K158" s="30">
        <v>58.0</v>
      </c>
      <c r="L158" s="30">
        <v>52.0</v>
      </c>
      <c r="M158" s="30">
        <v>76.0</v>
      </c>
      <c r="N158" s="30">
        <v>47.0</v>
      </c>
      <c r="O158" s="30">
        <v>51.0</v>
      </c>
      <c r="P158" s="30">
        <v>44.0</v>
      </c>
      <c r="Q158" s="30">
        <v>72.0</v>
      </c>
      <c r="R158" s="30">
        <v>68.0</v>
      </c>
      <c r="S158" s="30">
        <v>53.0</v>
      </c>
      <c r="T158" s="30">
        <v>54.0</v>
      </c>
      <c r="U158" s="30">
        <v>42.0</v>
      </c>
      <c r="V158" s="30">
        <v>90.0</v>
      </c>
      <c r="W158" s="30">
        <v>80.0</v>
      </c>
      <c r="X158" s="30">
        <v>90.0</v>
      </c>
      <c r="Y158" s="24"/>
      <c r="Z158" s="24"/>
      <c r="AA158" s="24"/>
      <c r="AB158" s="30">
        <v>22.0</v>
      </c>
      <c r="AC158" s="30">
        <v>75.0</v>
      </c>
      <c r="AD158" s="30">
        <v>75.0</v>
      </c>
      <c r="AE158" s="30">
        <v>43.0</v>
      </c>
      <c r="AF158" s="30">
        <v>54.0</v>
      </c>
      <c r="AG158" s="30">
        <v>84.0</v>
      </c>
      <c r="AH158" s="30">
        <v>87.0</v>
      </c>
      <c r="AL158" s="6"/>
      <c r="AM158" s="6"/>
      <c r="AO158" s="6">
        <f t="shared" si="25"/>
        <v>19.02558557</v>
      </c>
      <c r="AQ158" s="6"/>
      <c r="AR158" s="6"/>
      <c r="AS158" s="6"/>
      <c r="AT158" s="6"/>
      <c r="AU158" s="6"/>
      <c r="AV158" s="6"/>
    </row>
    <row r="159">
      <c r="A159" s="24"/>
      <c r="B159" s="28" t="s">
        <v>6</v>
      </c>
      <c r="C159" s="29">
        <v>6.0</v>
      </c>
      <c r="D159" s="29">
        <v>4.0</v>
      </c>
      <c r="E159" s="29">
        <v>6.0</v>
      </c>
      <c r="F159" s="29">
        <v>2.0</v>
      </c>
      <c r="G159" s="29">
        <v>2.0</v>
      </c>
      <c r="H159" s="29">
        <v>6.0</v>
      </c>
      <c r="I159" s="29">
        <v>6.0</v>
      </c>
      <c r="J159" s="29">
        <v>4.0</v>
      </c>
      <c r="K159" s="29">
        <v>3.0</v>
      </c>
      <c r="L159" s="29">
        <v>5.0</v>
      </c>
      <c r="M159" s="29">
        <v>5.0</v>
      </c>
      <c r="N159" s="29">
        <v>2.0</v>
      </c>
      <c r="O159" s="29">
        <v>3.0</v>
      </c>
      <c r="P159" s="29">
        <v>2.0</v>
      </c>
      <c r="Q159" s="29">
        <v>2.0</v>
      </c>
      <c r="R159" s="29">
        <v>2.0</v>
      </c>
      <c r="S159" s="29">
        <v>2.0</v>
      </c>
      <c r="T159" s="29">
        <v>5.0</v>
      </c>
      <c r="U159" s="29">
        <v>3.0</v>
      </c>
      <c r="V159" s="29">
        <v>5.0</v>
      </c>
      <c r="W159" s="29">
        <v>3.0</v>
      </c>
      <c r="X159" s="29">
        <v>5.0</v>
      </c>
      <c r="Y159" s="24"/>
      <c r="Z159" s="24"/>
      <c r="AA159" s="24"/>
      <c r="AB159" s="29">
        <v>5.0</v>
      </c>
      <c r="AC159" s="29">
        <v>5.0</v>
      </c>
      <c r="AD159" s="29">
        <v>3.0</v>
      </c>
      <c r="AE159" s="29">
        <v>5.0</v>
      </c>
      <c r="AF159" s="29">
        <v>6.0</v>
      </c>
      <c r="AG159" s="29">
        <v>5.0</v>
      </c>
      <c r="AH159" s="29">
        <v>5.0</v>
      </c>
      <c r="AL159" s="29">
        <f>7-G159</f>
        <v>5</v>
      </c>
      <c r="AM159" s="29">
        <f>7-J159</f>
        <v>3</v>
      </c>
      <c r="AO159" s="6">
        <f t="shared" si="25"/>
        <v>1.499589435</v>
      </c>
      <c r="AQ159" s="29">
        <f t="shared" ref="AQ159:AS159" si="29">E159</f>
        <v>6</v>
      </c>
      <c r="AR159" s="29">
        <f t="shared" si="29"/>
        <v>2</v>
      </c>
      <c r="AS159" s="29">
        <f t="shared" si="29"/>
        <v>2</v>
      </c>
      <c r="AT159" s="29">
        <f>sum(C159,D159,E159,AL159,H159,I159,AM159)</f>
        <v>36</v>
      </c>
      <c r="AU159" s="29">
        <f>sum(P159:T159)</f>
        <v>13</v>
      </c>
      <c r="AV159" s="29">
        <f>sum(U159:X159)</f>
        <v>16</v>
      </c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M159" s="4"/>
      <c r="BN159" s="4"/>
      <c r="BO159" s="4"/>
      <c r="BP159" s="4"/>
      <c r="BQ159" s="4"/>
      <c r="BR159" s="4"/>
      <c r="BS159" s="4"/>
    </row>
    <row r="160">
      <c r="A160" s="24"/>
      <c r="B160" s="24"/>
      <c r="C160" s="31">
        <v>63.0</v>
      </c>
      <c r="D160" s="31">
        <v>45.0</v>
      </c>
      <c r="E160" s="31">
        <v>63.0</v>
      </c>
      <c r="F160" s="31">
        <v>45.0</v>
      </c>
      <c r="G160" s="30" t="s">
        <v>139</v>
      </c>
      <c r="H160" s="31">
        <v>63.0</v>
      </c>
      <c r="I160" s="31">
        <v>63.0</v>
      </c>
      <c r="J160" s="31">
        <v>45.0</v>
      </c>
      <c r="K160" s="31">
        <v>63.0</v>
      </c>
      <c r="L160" s="31">
        <v>45.0</v>
      </c>
      <c r="M160" s="31">
        <v>63.0</v>
      </c>
      <c r="N160" s="30" t="s">
        <v>139</v>
      </c>
      <c r="O160" s="31">
        <v>45.0</v>
      </c>
      <c r="P160" s="31">
        <v>72.0</v>
      </c>
      <c r="Q160" s="31">
        <v>72.0</v>
      </c>
      <c r="R160" s="31">
        <v>72.0</v>
      </c>
      <c r="S160" s="31">
        <v>63.0</v>
      </c>
      <c r="T160" s="31">
        <v>54.0</v>
      </c>
      <c r="U160" s="31">
        <v>63.0</v>
      </c>
      <c r="V160" s="31">
        <v>63.0</v>
      </c>
      <c r="W160" s="31">
        <v>72.0</v>
      </c>
      <c r="X160" s="31">
        <v>63.0</v>
      </c>
      <c r="Y160" s="24"/>
      <c r="Z160" s="24"/>
      <c r="AA160" s="24"/>
      <c r="AB160" s="31">
        <v>45.0</v>
      </c>
      <c r="AC160" s="31">
        <v>45.0</v>
      </c>
      <c r="AD160" s="31">
        <v>63.0</v>
      </c>
      <c r="AE160" s="31">
        <v>63.0</v>
      </c>
      <c r="AF160" s="31">
        <v>72.0</v>
      </c>
      <c r="AG160" s="31">
        <v>63.0</v>
      </c>
      <c r="AH160" s="31">
        <v>63.0</v>
      </c>
      <c r="AL160" s="6"/>
      <c r="AM160" s="6"/>
      <c r="AO160" s="6">
        <f t="shared" si="25"/>
        <v>9.715174491</v>
      </c>
      <c r="AQ160" s="32"/>
      <c r="AR160" s="32"/>
      <c r="AS160" s="32"/>
      <c r="AT160" s="32"/>
      <c r="AU160" s="6"/>
      <c r="AV160" s="6"/>
    </row>
    <row r="161">
      <c r="A161" s="24"/>
      <c r="B161" s="28" t="s">
        <v>7</v>
      </c>
      <c r="C161" s="29">
        <v>6.0</v>
      </c>
      <c r="D161" s="29">
        <v>6.0</v>
      </c>
      <c r="E161" s="29">
        <v>5.0</v>
      </c>
      <c r="F161" s="29">
        <v>5.0</v>
      </c>
      <c r="G161" s="29">
        <v>2.0</v>
      </c>
      <c r="H161" s="29">
        <v>2.0</v>
      </c>
      <c r="I161" s="29">
        <v>6.0</v>
      </c>
      <c r="J161" s="29">
        <v>2.0</v>
      </c>
      <c r="K161" s="29">
        <v>2.0</v>
      </c>
      <c r="L161" s="29">
        <v>3.0</v>
      </c>
      <c r="M161" s="29">
        <v>5.0</v>
      </c>
      <c r="N161" s="29">
        <v>5.0</v>
      </c>
      <c r="O161" s="29">
        <v>6.0</v>
      </c>
      <c r="P161" s="29">
        <v>2.0</v>
      </c>
      <c r="Q161" s="29">
        <v>2.0</v>
      </c>
      <c r="R161" s="29">
        <v>3.0</v>
      </c>
      <c r="S161" s="29">
        <v>2.0</v>
      </c>
      <c r="T161" s="29">
        <v>5.0</v>
      </c>
      <c r="U161" s="29">
        <v>1.0</v>
      </c>
      <c r="V161" s="29">
        <v>5.0</v>
      </c>
      <c r="W161" s="29">
        <v>4.0</v>
      </c>
      <c r="X161" s="29">
        <v>5.0</v>
      </c>
      <c r="Y161" s="24"/>
      <c r="Z161" s="24"/>
      <c r="AA161" s="24"/>
      <c r="AB161" s="29">
        <v>1.0</v>
      </c>
      <c r="AC161" s="29">
        <v>1.0</v>
      </c>
      <c r="AD161" s="29">
        <v>1.0</v>
      </c>
      <c r="AE161" s="29">
        <v>1.0</v>
      </c>
      <c r="AF161" s="29">
        <v>4.0</v>
      </c>
      <c r="AG161" s="29">
        <v>5.0</v>
      </c>
      <c r="AH161" s="29">
        <v>4.0</v>
      </c>
      <c r="AL161" s="29">
        <f>7-G161</f>
        <v>5</v>
      </c>
      <c r="AM161" s="29">
        <f>7-J161</f>
        <v>5</v>
      </c>
      <c r="AO161" s="6">
        <f t="shared" si="25"/>
        <v>1.805165003</v>
      </c>
      <c r="AQ161" s="29">
        <f t="shared" ref="AQ161:AS161" si="30">E161</f>
        <v>5</v>
      </c>
      <c r="AR161" s="29">
        <f t="shared" si="30"/>
        <v>5</v>
      </c>
      <c r="AS161" s="29">
        <f t="shared" si="30"/>
        <v>2</v>
      </c>
      <c r="AT161" s="29">
        <f>sum(C161,D161,E161,AL161,H161,I161,AM161)</f>
        <v>35</v>
      </c>
      <c r="AU161" s="29">
        <f>sum(P161:T161)</f>
        <v>14</v>
      </c>
      <c r="AV161" s="29">
        <f>sum(U161:X161)</f>
        <v>15</v>
      </c>
    </row>
    <row r="162">
      <c r="A162" s="24"/>
      <c r="B162" s="24"/>
      <c r="C162" s="31">
        <v>67.5</v>
      </c>
      <c r="D162" s="31">
        <v>90.0</v>
      </c>
      <c r="E162" s="31">
        <v>54.0</v>
      </c>
      <c r="F162" s="31">
        <v>64.5</v>
      </c>
      <c r="G162" s="31">
        <v>90.0</v>
      </c>
      <c r="H162" s="31">
        <v>73.5</v>
      </c>
      <c r="I162" s="31">
        <v>84.0</v>
      </c>
      <c r="J162" s="31">
        <v>42.0</v>
      </c>
      <c r="K162" s="31">
        <v>67.5</v>
      </c>
      <c r="L162" s="31">
        <v>45.0</v>
      </c>
      <c r="M162" s="31">
        <v>54.0</v>
      </c>
      <c r="N162" s="31">
        <v>57.0</v>
      </c>
      <c r="O162" s="31">
        <v>57.0</v>
      </c>
      <c r="P162" s="31">
        <v>72.0</v>
      </c>
      <c r="Q162" s="31">
        <v>81.0</v>
      </c>
      <c r="R162" s="31">
        <v>55.5</v>
      </c>
      <c r="S162" s="31">
        <v>48.0</v>
      </c>
      <c r="T162" s="31">
        <v>30.0</v>
      </c>
      <c r="U162" s="31">
        <v>84.0</v>
      </c>
      <c r="V162" s="31">
        <v>54.0</v>
      </c>
      <c r="W162" s="31">
        <v>87.0</v>
      </c>
      <c r="X162" s="31">
        <v>72.0</v>
      </c>
      <c r="Y162" s="24"/>
      <c r="Z162" s="24"/>
      <c r="AA162" s="24"/>
      <c r="AB162" s="31">
        <v>90.0</v>
      </c>
      <c r="AC162" s="31">
        <v>90.0</v>
      </c>
      <c r="AD162" s="31">
        <v>84.0</v>
      </c>
      <c r="AE162" s="31">
        <v>90.0</v>
      </c>
      <c r="AF162" s="31">
        <v>40.5</v>
      </c>
      <c r="AG162" s="31">
        <v>49.5</v>
      </c>
      <c r="AH162" s="31">
        <v>48.0</v>
      </c>
      <c r="AL162" s="6"/>
      <c r="AM162" s="6"/>
      <c r="AO162" s="6">
        <f t="shared" si="25"/>
        <v>18.16473265</v>
      </c>
      <c r="AP162" s="33"/>
      <c r="AQ162" s="31"/>
      <c r="AR162" s="31"/>
      <c r="AS162" s="31"/>
      <c r="AT162" s="31"/>
      <c r="AU162" s="6"/>
      <c r="AV162" s="6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</row>
    <row r="163">
      <c r="A163" s="24"/>
      <c r="B163" s="28" t="s">
        <v>8</v>
      </c>
      <c r="C163" s="29">
        <v>5.0</v>
      </c>
      <c r="D163" s="29">
        <v>3.0</v>
      </c>
      <c r="E163" s="29">
        <v>5.0</v>
      </c>
      <c r="F163" s="29">
        <v>4.0</v>
      </c>
      <c r="G163" s="29">
        <v>3.0</v>
      </c>
      <c r="H163" s="29">
        <v>4.0</v>
      </c>
      <c r="I163" s="29">
        <v>3.0</v>
      </c>
      <c r="J163" s="29">
        <v>5.0</v>
      </c>
      <c r="K163" s="29">
        <v>4.0</v>
      </c>
      <c r="L163" s="29">
        <v>6.0</v>
      </c>
      <c r="M163" s="29">
        <v>5.0</v>
      </c>
      <c r="N163" s="29">
        <v>5.0</v>
      </c>
      <c r="O163" s="29">
        <v>5.0</v>
      </c>
      <c r="P163" s="29">
        <v>2.0</v>
      </c>
      <c r="Q163" s="29">
        <v>2.0</v>
      </c>
      <c r="R163" s="29">
        <v>4.0</v>
      </c>
      <c r="S163" s="29">
        <v>2.0</v>
      </c>
      <c r="T163" s="29">
        <v>4.0</v>
      </c>
      <c r="U163" s="29">
        <v>6.0</v>
      </c>
      <c r="V163" s="29">
        <v>6.0</v>
      </c>
      <c r="W163" s="29">
        <v>5.0</v>
      </c>
      <c r="X163" s="29">
        <v>3.0</v>
      </c>
      <c r="Y163" s="24"/>
      <c r="Z163" s="24"/>
      <c r="AA163" s="24"/>
      <c r="AB163" s="29">
        <v>2.0</v>
      </c>
      <c r="AC163" s="29">
        <v>2.0</v>
      </c>
      <c r="AD163" s="29">
        <v>3.0</v>
      </c>
      <c r="AE163" s="29">
        <v>3.0</v>
      </c>
      <c r="AF163" s="29">
        <v>3.0</v>
      </c>
      <c r="AG163" s="29">
        <v>5.0</v>
      </c>
      <c r="AH163" s="29">
        <v>4.0</v>
      </c>
      <c r="AL163" s="29">
        <f>7-G163</f>
        <v>4</v>
      </c>
      <c r="AM163" s="29">
        <f>7-J163</f>
        <v>2</v>
      </c>
      <c r="AO163" s="6">
        <f t="shared" si="25"/>
        <v>1.291312389</v>
      </c>
      <c r="AP163" s="33"/>
      <c r="AQ163" s="29">
        <f t="shared" ref="AQ163:AS163" si="31">E163</f>
        <v>5</v>
      </c>
      <c r="AR163" s="29">
        <f t="shared" si="31"/>
        <v>4</v>
      </c>
      <c r="AS163" s="29">
        <f t="shared" si="31"/>
        <v>3</v>
      </c>
      <c r="AT163" s="29">
        <f>sum(C163,D163,E163,AL163,H163,I163,AM163)</f>
        <v>26</v>
      </c>
      <c r="AU163" s="29">
        <f>sum(P163:T163)</f>
        <v>14</v>
      </c>
      <c r="AV163" s="29">
        <f>sum(U163:X163)</f>
        <v>20</v>
      </c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</row>
    <row r="164">
      <c r="A164" s="24"/>
      <c r="B164" s="24"/>
      <c r="C164" s="31">
        <v>4.5</v>
      </c>
      <c r="D164" s="31">
        <v>3.0</v>
      </c>
      <c r="E164" s="31">
        <v>4.5</v>
      </c>
      <c r="F164" s="31">
        <v>6.0</v>
      </c>
      <c r="G164" s="31">
        <v>21.0</v>
      </c>
      <c r="H164" s="31">
        <v>6.0</v>
      </c>
      <c r="I164" s="31">
        <v>6.0</v>
      </c>
      <c r="J164" s="31">
        <v>9.0</v>
      </c>
      <c r="K164" s="31">
        <v>6.0</v>
      </c>
      <c r="L164" s="31">
        <v>66.0</v>
      </c>
      <c r="M164" s="30">
        <v>3.0</v>
      </c>
      <c r="N164" s="31">
        <v>43.5</v>
      </c>
      <c r="O164" s="31">
        <v>37.5</v>
      </c>
      <c r="P164" s="31">
        <v>61.5</v>
      </c>
      <c r="Q164" s="31">
        <v>60.0</v>
      </c>
      <c r="R164" s="31">
        <v>28.5</v>
      </c>
      <c r="S164" s="31">
        <v>61.5</v>
      </c>
      <c r="T164" s="31">
        <v>46.5</v>
      </c>
      <c r="U164" s="31">
        <v>63.0</v>
      </c>
      <c r="V164" s="31">
        <v>72.0</v>
      </c>
      <c r="W164" s="31">
        <v>37.5</v>
      </c>
      <c r="X164" s="31">
        <v>10.5</v>
      </c>
      <c r="Y164" s="24"/>
      <c r="Z164" s="24"/>
      <c r="AA164" s="24"/>
      <c r="AB164" s="31">
        <v>7.5</v>
      </c>
      <c r="AC164" s="31">
        <v>28.5</v>
      </c>
      <c r="AD164" s="31">
        <v>18.0</v>
      </c>
      <c r="AE164" s="31">
        <v>13.5</v>
      </c>
      <c r="AF164" s="31">
        <v>9.0</v>
      </c>
      <c r="AG164" s="31">
        <v>12.0</v>
      </c>
      <c r="AH164" s="31">
        <v>13.5</v>
      </c>
      <c r="AL164" s="6"/>
      <c r="AM164" s="6"/>
      <c r="AO164" s="6">
        <f t="shared" si="25"/>
        <v>23.22609211</v>
      </c>
      <c r="AP164" s="34"/>
      <c r="AQ164" s="31"/>
      <c r="AR164" s="31"/>
      <c r="AS164" s="31"/>
      <c r="AT164" s="31"/>
      <c r="AU164" s="6"/>
      <c r="AV164" s="6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</row>
    <row r="165">
      <c r="A165" s="24"/>
      <c r="B165" s="28" t="s">
        <v>9</v>
      </c>
      <c r="C165" s="29">
        <v>5.0</v>
      </c>
      <c r="D165" s="29">
        <v>1.0</v>
      </c>
      <c r="E165" s="29">
        <v>2.0</v>
      </c>
      <c r="F165" s="29">
        <v>1.0</v>
      </c>
      <c r="G165" s="29">
        <v>7.0</v>
      </c>
      <c r="H165" s="29">
        <v>2.0</v>
      </c>
      <c r="I165" s="29">
        <v>5.0</v>
      </c>
      <c r="J165" s="29">
        <v>1.0</v>
      </c>
      <c r="K165" s="29">
        <v>1.0</v>
      </c>
      <c r="L165" s="29">
        <v>2.0</v>
      </c>
      <c r="M165" s="29">
        <v>3.0</v>
      </c>
      <c r="N165" s="29">
        <v>5.0</v>
      </c>
      <c r="O165" s="29">
        <v>7.0</v>
      </c>
      <c r="P165" s="29">
        <v>2.0</v>
      </c>
      <c r="Q165" s="29">
        <v>1.0</v>
      </c>
      <c r="R165" s="29">
        <v>1.0</v>
      </c>
      <c r="S165" s="29">
        <v>1.0</v>
      </c>
      <c r="T165" s="29">
        <v>5.0</v>
      </c>
      <c r="U165" s="29">
        <v>2.0</v>
      </c>
      <c r="V165" s="29">
        <v>2.0</v>
      </c>
      <c r="W165" s="29">
        <v>2.0</v>
      </c>
      <c r="X165" s="29">
        <v>1.0</v>
      </c>
      <c r="Y165" s="24"/>
      <c r="Z165" s="24"/>
      <c r="AA165" s="24"/>
      <c r="AB165" s="29">
        <v>1.0</v>
      </c>
      <c r="AC165" s="29">
        <v>1.0</v>
      </c>
      <c r="AD165" s="29">
        <v>2.0</v>
      </c>
      <c r="AE165" s="29">
        <v>1.0</v>
      </c>
      <c r="AF165" s="29">
        <v>1.0</v>
      </c>
      <c r="AG165" s="29">
        <v>1.0</v>
      </c>
      <c r="AH165" s="29">
        <v>1.0</v>
      </c>
      <c r="AL165" s="29">
        <f>7-G165</f>
        <v>0</v>
      </c>
      <c r="AM165" s="29">
        <f>7-J165</f>
        <v>6</v>
      </c>
      <c r="AO165" s="6">
        <f t="shared" si="25"/>
        <v>1.872802489</v>
      </c>
      <c r="AQ165" s="29">
        <f t="shared" ref="AQ165:AS165" si="32">E165</f>
        <v>2</v>
      </c>
      <c r="AR165" s="29">
        <f t="shared" si="32"/>
        <v>1</v>
      </c>
      <c r="AS165" s="29">
        <f t="shared" si="32"/>
        <v>7</v>
      </c>
      <c r="AT165" s="29">
        <f>sum(C165,D165,E165,AL165,H165,I165,AM165)</f>
        <v>21</v>
      </c>
      <c r="AU165" s="29">
        <f>sum(P165:T165)</f>
        <v>10</v>
      </c>
      <c r="AV165" s="29">
        <f>sum(U165:X165)</f>
        <v>7</v>
      </c>
    </row>
    <row r="166">
      <c r="A166" s="24"/>
      <c r="B166" s="24"/>
      <c r="C166" s="30">
        <v>2.0</v>
      </c>
      <c r="D166" s="30">
        <v>66.0</v>
      </c>
      <c r="E166" s="30">
        <v>67.0</v>
      </c>
      <c r="F166" s="30">
        <v>68.0</v>
      </c>
      <c r="G166" s="30">
        <v>64.0</v>
      </c>
      <c r="H166" s="30">
        <v>22.0</v>
      </c>
      <c r="I166" s="30">
        <v>8.0</v>
      </c>
      <c r="J166" s="30">
        <v>62.0</v>
      </c>
      <c r="K166" s="30">
        <v>71.0</v>
      </c>
      <c r="L166" s="30">
        <v>55.0</v>
      </c>
      <c r="M166" s="30">
        <v>54.0</v>
      </c>
      <c r="N166" s="30">
        <v>57.0</v>
      </c>
      <c r="O166" s="30">
        <v>84.0</v>
      </c>
      <c r="P166" s="30">
        <v>68.0</v>
      </c>
      <c r="Q166" s="30">
        <v>81.0</v>
      </c>
      <c r="R166" s="30">
        <v>82.0</v>
      </c>
      <c r="S166" s="30">
        <v>82.0</v>
      </c>
      <c r="T166" s="30">
        <v>41.0</v>
      </c>
      <c r="U166" s="30">
        <v>68.0</v>
      </c>
      <c r="V166" s="30">
        <v>56.0</v>
      </c>
      <c r="W166" s="30">
        <v>68.0</v>
      </c>
      <c r="X166" s="30">
        <v>38.0</v>
      </c>
      <c r="Y166" s="24"/>
      <c r="Z166" s="24"/>
      <c r="AA166" s="24"/>
      <c r="AB166" s="30">
        <v>78.0</v>
      </c>
      <c r="AC166" s="30">
        <v>77.0</v>
      </c>
      <c r="AD166" s="30">
        <v>64.0</v>
      </c>
      <c r="AE166" s="30">
        <v>67.0</v>
      </c>
      <c r="AF166" s="30">
        <v>77.0</v>
      </c>
      <c r="AG166" s="30">
        <v>69.0</v>
      </c>
      <c r="AH166" s="30">
        <v>70.0</v>
      </c>
      <c r="AL166" s="6"/>
      <c r="AM166" s="6"/>
      <c r="AO166" s="6">
        <f t="shared" si="25"/>
        <v>20.73186786</v>
      </c>
      <c r="AQ166" s="6"/>
      <c r="AR166" s="6"/>
      <c r="AS166" s="6"/>
      <c r="AT166" s="6"/>
      <c r="AU166" s="6"/>
      <c r="AV166" s="6"/>
    </row>
    <row r="167">
      <c r="A167" s="24"/>
      <c r="B167" s="28" t="s">
        <v>10</v>
      </c>
      <c r="C167" s="29">
        <v>2.0</v>
      </c>
      <c r="D167" s="29">
        <v>2.0</v>
      </c>
      <c r="E167" s="29">
        <v>2.0</v>
      </c>
      <c r="F167" s="29">
        <v>2.0</v>
      </c>
      <c r="G167" s="29">
        <v>2.0</v>
      </c>
      <c r="H167" s="29">
        <v>2.0</v>
      </c>
      <c r="I167" s="29">
        <v>4.0</v>
      </c>
      <c r="J167" s="29">
        <v>4.0</v>
      </c>
      <c r="K167" s="29">
        <v>2.0</v>
      </c>
      <c r="L167" s="29">
        <v>2.0</v>
      </c>
      <c r="M167" s="29">
        <v>2.0</v>
      </c>
      <c r="N167" s="29">
        <v>4.0</v>
      </c>
      <c r="O167" s="29">
        <v>6.0</v>
      </c>
      <c r="P167" s="29">
        <v>2.0</v>
      </c>
      <c r="Q167" s="29">
        <v>2.0</v>
      </c>
      <c r="R167" s="29">
        <v>2.0</v>
      </c>
      <c r="S167" s="29">
        <v>2.0</v>
      </c>
      <c r="T167" s="29">
        <v>2.0</v>
      </c>
      <c r="U167" s="29">
        <v>3.0</v>
      </c>
      <c r="V167" s="29">
        <v>2.0</v>
      </c>
      <c r="W167" s="29">
        <v>2.0</v>
      </c>
      <c r="X167" s="29">
        <v>2.0</v>
      </c>
      <c r="Y167" s="24"/>
      <c r="Z167" s="24"/>
      <c r="AA167" s="24"/>
      <c r="AB167" s="29">
        <v>2.0</v>
      </c>
      <c r="AC167" s="29">
        <v>2.0</v>
      </c>
      <c r="AD167" s="29">
        <v>2.0</v>
      </c>
      <c r="AE167" s="29">
        <v>2.0</v>
      </c>
      <c r="AF167" s="29">
        <v>2.0</v>
      </c>
      <c r="AG167" s="29">
        <v>2.0</v>
      </c>
      <c r="AH167" s="29">
        <v>2.0</v>
      </c>
      <c r="AL167" s="29">
        <f>7-G167</f>
        <v>5</v>
      </c>
      <c r="AM167" s="29">
        <f>7-J167</f>
        <v>3</v>
      </c>
      <c r="AO167" s="6">
        <f t="shared" si="25"/>
        <v>0.9416472309</v>
      </c>
      <c r="AQ167" s="29">
        <f t="shared" ref="AQ167:AS167" si="33">E167</f>
        <v>2</v>
      </c>
      <c r="AR167" s="29">
        <f t="shared" si="33"/>
        <v>2</v>
      </c>
      <c r="AS167" s="29">
        <f t="shared" si="33"/>
        <v>2</v>
      </c>
      <c r="AT167" s="29">
        <f>sum(C167,D167,E167,AL167,H167,I167,AM167)</f>
        <v>20</v>
      </c>
      <c r="AU167" s="29">
        <f>sum(P167:T167)</f>
        <v>10</v>
      </c>
      <c r="AV167" s="29">
        <f>sum(U167:X167)</f>
        <v>9</v>
      </c>
    </row>
    <row r="168">
      <c r="A168" s="24"/>
      <c r="B168" s="24"/>
      <c r="C168" s="30">
        <v>90.0</v>
      </c>
      <c r="D168" s="30">
        <v>90.0</v>
      </c>
      <c r="E168" s="30">
        <v>90.0</v>
      </c>
      <c r="F168" s="30">
        <v>90.0</v>
      </c>
      <c r="G168" s="30">
        <v>90.0</v>
      </c>
      <c r="H168" s="30">
        <v>90.0</v>
      </c>
      <c r="I168" s="30">
        <v>45.0</v>
      </c>
      <c r="J168" s="30">
        <v>45.0</v>
      </c>
      <c r="K168" s="30">
        <v>90.0</v>
      </c>
      <c r="L168" s="30">
        <v>90.0</v>
      </c>
      <c r="M168" s="30">
        <v>90.0</v>
      </c>
      <c r="N168" s="30">
        <v>45.0</v>
      </c>
      <c r="O168" s="30">
        <v>90.0</v>
      </c>
      <c r="P168" s="30">
        <v>90.0</v>
      </c>
      <c r="Q168" s="30">
        <v>90.0</v>
      </c>
      <c r="R168" s="30">
        <v>90.0</v>
      </c>
      <c r="S168" s="30">
        <v>90.0</v>
      </c>
      <c r="T168" s="30">
        <v>90.0</v>
      </c>
      <c r="U168" s="30">
        <v>34.0</v>
      </c>
      <c r="V168" s="30">
        <v>90.0</v>
      </c>
      <c r="W168" s="30">
        <v>90.0</v>
      </c>
      <c r="X168" s="30">
        <v>90.0</v>
      </c>
      <c r="Y168" s="24"/>
      <c r="Z168" s="24"/>
      <c r="AA168" s="24"/>
      <c r="AB168" s="30">
        <v>90.0</v>
      </c>
      <c r="AC168" s="30">
        <v>90.0</v>
      </c>
      <c r="AD168" s="30">
        <v>45.0</v>
      </c>
      <c r="AE168" s="30">
        <v>90.0</v>
      </c>
      <c r="AF168" s="30">
        <v>90.0</v>
      </c>
      <c r="AG168" s="30">
        <v>90.0</v>
      </c>
      <c r="AH168" s="30">
        <v>90.0</v>
      </c>
      <c r="AL168" s="6"/>
      <c r="AM168" s="6"/>
      <c r="AO168" s="6">
        <f t="shared" si="25"/>
        <v>18.23991725</v>
      </c>
      <c r="AQ168" s="6"/>
      <c r="AR168" s="6"/>
      <c r="AS168" s="6"/>
      <c r="AT168" s="6"/>
      <c r="AU168" s="6"/>
      <c r="AV168" s="6"/>
    </row>
    <row r="169">
      <c r="A169" s="24"/>
      <c r="B169" s="28" t="s">
        <v>11</v>
      </c>
      <c r="C169" s="29">
        <v>1.0</v>
      </c>
      <c r="D169" s="29">
        <v>1.0</v>
      </c>
      <c r="E169" s="29">
        <v>2.0</v>
      </c>
      <c r="F169" s="29">
        <v>2.0</v>
      </c>
      <c r="G169" s="29">
        <v>2.0</v>
      </c>
      <c r="H169" s="29">
        <v>1.0</v>
      </c>
      <c r="I169" s="29">
        <v>2.0</v>
      </c>
      <c r="J169" s="29">
        <v>7.0</v>
      </c>
      <c r="K169" s="29">
        <v>1.0</v>
      </c>
      <c r="L169" s="29">
        <v>6.0</v>
      </c>
      <c r="M169" s="29">
        <v>3.0</v>
      </c>
      <c r="N169" s="29">
        <v>6.0</v>
      </c>
      <c r="O169" s="29">
        <v>6.0</v>
      </c>
      <c r="P169" s="29">
        <v>2.0</v>
      </c>
      <c r="Q169" s="29">
        <v>5.0</v>
      </c>
      <c r="R169" s="29">
        <v>1.0</v>
      </c>
      <c r="S169" s="29">
        <v>5.0</v>
      </c>
      <c r="T169" s="29">
        <v>2.0</v>
      </c>
      <c r="U169" s="29">
        <v>2.0</v>
      </c>
      <c r="V169" s="29">
        <v>2.0</v>
      </c>
      <c r="W169" s="29">
        <v>1.0</v>
      </c>
      <c r="X169" s="29">
        <v>6.0</v>
      </c>
      <c r="Y169" s="24"/>
      <c r="Z169" s="24"/>
      <c r="AA169" s="24"/>
      <c r="AB169" s="29">
        <v>1.0</v>
      </c>
      <c r="AC169" s="29">
        <v>1.0</v>
      </c>
      <c r="AD169" s="29">
        <v>1.0</v>
      </c>
      <c r="AE169" s="29">
        <v>1.0</v>
      </c>
      <c r="AF169" s="29">
        <v>1.0</v>
      </c>
      <c r="AG169" s="29">
        <v>2.0</v>
      </c>
      <c r="AH169" s="29">
        <v>1.0</v>
      </c>
      <c r="AL169" s="29">
        <f>7-G169</f>
        <v>5</v>
      </c>
      <c r="AM169" s="29">
        <f>7-J169</f>
        <v>0</v>
      </c>
      <c r="AO169" s="6">
        <f t="shared" si="25"/>
        <v>1.992597137</v>
      </c>
      <c r="AQ169" s="29">
        <f t="shared" ref="AQ169:AS169" si="34">E169</f>
        <v>2</v>
      </c>
      <c r="AR169" s="29">
        <f t="shared" si="34"/>
        <v>2</v>
      </c>
      <c r="AS169" s="29">
        <f t="shared" si="34"/>
        <v>2</v>
      </c>
      <c r="AT169" s="29">
        <f>sum(C169,D169,E169,AL169,H169,I169,AM169)</f>
        <v>12</v>
      </c>
      <c r="AU169" s="29">
        <f>sum(P169:T169)</f>
        <v>15</v>
      </c>
      <c r="AV169" s="29">
        <f>sum(U169:X169)</f>
        <v>11</v>
      </c>
    </row>
    <row r="170">
      <c r="A170" s="24"/>
      <c r="B170" s="24"/>
      <c r="C170" s="31">
        <v>73.5</v>
      </c>
      <c r="D170" s="31">
        <v>82.5</v>
      </c>
      <c r="E170" s="31">
        <v>72.0</v>
      </c>
      <c r="F170" s="31">
        <v>70.5</v>
      </c>
      <c r="G170" s="31">
        <v>69.0</v>
      </c>
      <c r="H170" s="31">
        <v>76.5</v>
      </c>
      <c r="I170" s="31">
        <v>70.5</v>
      </c>
      <c r="J170" s="31">
        <v>73.5</v>
      </c>
      <c r="K170" s="31">
        <v>73.5</v>
      </c>
      <c r="L170" s="31">
        <v>66.0</v>
      </c>
      <c r="M170" s="31">
        <v>67.5</v>
      </c>
      <c r="N170" s="31">
        <v>75.0</v>
      </c>
      <c r="O170" s="31">
        <v>64.5</v>
      </c>
      <c r="P170" s="31">
        <v>69.0</v>
      </c>
      <c r="Q170" s="31">
        <v>64.5</v>
      </c>
      <c r="R170" s="31">
        <v>75.0</v>
      </c>
      <c r="S170" s="31">
        <v>60.0</v>
      </c>
      <c r="T170" s="31">
        <v>73.5</v>
      </c>
      <c r="U170" s="31">
        <v>58.5</v>
      </c>
      <c r="V170" s="31">
        <v>72.0</v>
      </c>
      <c r="W170" s="31">
        <v>75.0</v>
      </c>
      <c r="X170" s="31">
        <v>67.5</v>
      </c>
      <c r="Y170" s="24"/>
      <c r="Z170" s="24"/>
      <c r="AA170" s="24"/>
      <c r="AB170" s="31">
        <v>78.0</v>
      </c>
      <c r="AC170" s="31">
        <v>75.0</v>
      </c>
      <c r="AD170" s="31">
        <v>70.5</v>
      </c>
      <c r="AE170" s="31">
        <v>78.0</v>
      </c>
      <c r="AF170" s="31">
        <v>75.0</v>
      </c>
      <c r="AG170" s="31">
        <v>63.0</v>
      </c>
      <c r="AH170" s="31">
        <v>70.5</v>
      </c>
      <c r="AL170" s="6"/>
      <c r="AM170" s="6"/>
      <c r="AO170" s="6">
        <f t="shared" si="25"/>
        <v>5.515372605</v>
      </c>
      <c r="AP170" s="24"/>
      <c r="AQ170" s="31"/>
      <c r="AR170" s="31"/>
      <c r="AS170" s="31"/>
      <c r="AT170" s="31"/>
      <c r="AU170" s="6"/>
      <c r="AV170" s="6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</row>
    <row r="171">
      <c r="A171" s="24"/>
      <c r="B171" s="28" t="s">
        <v>12</v>
      </c>
      <c r="C171" s="29">
        <v>7.0</v>
      </c>
      <c r="D171" s="29">
        <v>1.0</v>
      </c>
      <c r="E171" s="29">
        <v>5.0</v>
      </c>
      <c r="F171" s="29">
        <v>7.0</v>
      </c>
      <c r="G171" s="29">
        <v>1.0</v>
      </c>
      <c r="H171" s="29">
        <v>7.0</v>
      </c>
      <c r="I171" s="29">
        <v>7.0</v>
      </c>
      <c r="J171" s="29">
        <v>1.0</v>
      </c>
      <c r="K171" s="29">
        <v>7.0</v>
      </c>
      <c r="L171" s="29">
        <v>5.0</v>
      </c>
      <c r="M171" s="29">
        <v>7.0</v>
      </c>
      <c r="N171" s="29">
        <v>7.0</v>
      </c>
      <c r="O171" s="29">
        <v>5.0</v>
      </c>
      <c r="P171" s="29">
        <v>1.0</v>
      </c>
      <c r="Q171" s="29">
        <v>1.0</v>
      </c>
      <c r="R171" s="29">
        <v>5.0</v>
      </c>
      <c r="S171" s="29">
        <v>1.0</v>
      </c>
      <c r="T171" s="29">
        <v>5.0</v>
      </c>
      <c r="U171" s="29">
        <v>7.0</v>
      </c>
      <c r="V171" s="29">
        <v>7.0</v>
      </c>
      <c r="W171" s="29">
        <v>5.0</v>
      </c>
      <c r="X171" s="29">
        <v>7.0</v>
      </c>
      <c r="Y171" s="24"/>
      <c r="Z171" s="24"/>
      <c r="AA171" s="24"/>
      <c r="AB171" s="29">
        <v>1.0</v>
      </c>
      <c r="AC171" s="29">
        <v>1.0</v>
      </c>
      <c r="AD171" s="29">
        <v>4.0</v>
      </c>
      <c r="AE171" s="29">
        <v>2.0</v>
      </c>
      <c r="AF171" s="29">
        <v>2.0</v>
      </c>
      <c r="AG171" s="29">
        <v>7.0</v>
      </c>
      <c r="AH171" s="29">
        <v>2.0</v>
      </c>
      <c r="AL171" s="29">
        <f>7-G171</f>
        <v>6</v>
      </c>
      <c r="AM171" s="29">
        <f>7-J171</f>
        <v>6</v>
      </c>
      <c r="AO171" s="6">
        <f t="shared" si="25"/>
        <v>2.578807148</v>
      </c>
      <c r="AP171" s="24"/>
      <c r="AQ171" s="29">
        <f t="shared" ref="AQ171:AS171" si="35">E171</f>
        <v>5</v>
      </c>
      <c r="AR171" s="29">
        <f t="shared" si="35"/>
        <v>7</v>
      </c>
      <c r="AS171" s="29">
        <f t="shared" si="35"/>
        <v>1</v>
      </c>
      <c r="AT171" s="29">
        <f>sum(C171,D171,E171,AL171,H171,I171,AM171)</f>
        <v>39</v>
      </c>
      <c r="AU171" s="29">
        <f>sum(P171:T171)</f>
        <v>13</v>
      </c>
      <c r="AV171" s="29">
        <f>sum(U171:X171)</f>
        <v>26</v>
      </c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</row>
    <row r="172">
      <c r="A172" s="24"/>
      <c r="B172" s="24"/>
      <c r="C172" s="31">
        <v>83.6470588235294</v>
      </c>
      <c r="D172" s="31">
        <v>90.0</v>
      </c>
      <c r="E172" s="31">
        <v>90.0</v>
      </c>
      <c r="F172" s="31">
        <v>87.88235294117646</v>
      </c>
      <c r="G172" s="31">
        <v>90.0</v>
      </c>
      <c r="H172" s="31">
        <v>90.0</v>
      </c>
      <c r="I172" s="31">
        <v>90.0</v>
      </c>
      <c r="J172" s="31">
        <v>90.0</v>
      </c>
      <c r="K172" s="31">
        <v>90.0</v>
      </c>
      <c r="L172" s="31">
        <v>90.0</v>
      </c>
      <c r="M172" s="31">
        <v>88.94117647058823</v>
      </c>
      <c r="N172" s="31">
        <v>90.0</v>
      </c>
      <c r="O172" s="31">
        <v>90.0</v>
      </c>
      <c r="P172" s="31">
        <v>90.0</v>
      </c>
      <c r="Q172" s="31">
        <v>90.0</v>
      </c>
      <c r="R172" s="31">
        <v>87.88235294117646</v>
      </c>
      <c r="S172" s="31">
        <v>90.0</v>
      </c>
      <c r="T172" s="31">
        <v>90.0</v>
      </c>
      <c r="U172" s="31">
        <v>87.88235294117646</v>
      </c>
      <c r="V172" s="31">
        <v>87.88235294117646</v>
      </c>
      <c r="W172" s="31">
        <v>90.0</v>
      </c>
      <c r="X172" s="31">
        <v>87.88235294117646</v>
      </c>
      <c r="Y172" s="24"/>
      <c r="Z172" s="24"/>
      <c r="AA172" s="24"/>
      <c r="AB172" s="31">
        <v>90.0</v>
      </c>
      <c r="AC172" s="31">
        <v>90.0</v>
      </c>
      <c r="AD172" s="31">
        <v>90.0</v>
      </c>
      <c r="AE172" s="31">
        <v>90.0</v>
      </c>
      <c r="AF172" s="31">
        <v>90.0</v>
      </c>
      <c r="AG172" s="31">
        <v>90.0</v>
      </c>
      <c r="AH172" s="31">
        <v>90.0</v>
      </c>
      <c r="AL172" s="6"/>
      <c r="AM172" s="6"/>
      <c r="AO172" s="6">
        <f t="shared" si="25"/>
        <v>1.372311663</v>
      </c>
      <c r="AP172" s="24"/>
      <c r="AQ172" s="32"/>
      <c r="AR172" s="32"/>
      <c r="AS172" s="32"/>
      <c r="AT172" s="32"/>
      <c r="AU172" s="6"/>
      <c r="AV172" s="6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</row>
    <row r="173">
      <c r="A173" s="24"/>
      <c r="B173" s="28" t="s">
        <v>13</v>
      </c>
      <c r="C173" s="29">
        <v>2.0</v>
      </c>
      <c r="D173" s="29">
        <v>2.0</v>
      </c>
      <c r="E173" s="29">
        <v>2.0</v>
      </c>
      <c r="F173" s="29">
        <v>6.0</v>
      </c>
      <c r="G173" s="29">
        <v>6.0</v>
      </c>
      <c r="H173" s="29">
        <v>1.0</v>
      </c>
      <c r="I173" s="29">
        <v>1.0</v>
      </c>
      <c r="J173" s="29">
        <v>6.0</v>
      </c>
      <c r="K173" s="29">
        <v>5.0</v>
      </c>
      <c r="L173" s="29">
        <v>1.0</v>
      </c>
      <c r="M173" s="29">
        <v>7.0</v>
      </c>
      <c r="N173" s="29">
        <v>7.0</v>
      </c>
      <c r="O173" s="29">
        <v>5.0</v>
      </c>
      <c r="P173" s="29">
        <v>2.0</v>
      </c>
      <c r="Q173" s="29">
        <v>2.0</v>
      </c>
      <c r="R173" s="29">
        <v>1.0</v>
      </c>
      <c r="S173" s="29">
        <v>5.0</v>
      </c>
      <c r="T173" s="29">
        <v>2.0</v>
      </c>
      <c r="U173" s="29">
        <v>2.0</v>
      </c>
      <c r="V173" s="29">
        <v>2.0</v>
      </c>
      <c r="W173" s="29">
        <v>2.0</v>
      </c>
      <c r="X173" s="29">
        <v>2.0</v>
      </c>
      <c r="Y173" s="24"/>
      <c r="Z173" s="24"/>
      <c r="AA173" s="24"/>
      <c r="AB173" s="29">
        <v>2.0</v>
      </c>
      <c r="AC173" s="29">
        <v>1.0</v>
      </c>
      <c r="AD173" s="29">
        <v>5.0</v>
      </c>
      <c r="AE173" s="29">
        <v>2.0</v>
      </c>
      <c r="AF173" s="29">
        <v>1.0</v>
      </c>
      <c r="AG173" s="29">
        <v>1.0</v>
      </c>
      <c r="AH173" s="29">
        <v>1.0</v>
      </c>
      <c r="AL173" s="29">
        <f>7-G173</f>
        <v>1</v>
      </c>
      <c r="AM173" s="29">
        <f>7-J173</f>
        <v>1</v>
      </c>
      <c r="AO173" s="6">
        <f t="shared" si="25"/>
        <v>2.058862855</v>
      </c>
      <c r="AP173" s="24"/>
      <c r="AQ173" s="29">
        <f t="shared" ref="AQ173:AS173" si="36">E173</f>
        <v>2</v>
      </c>
      <c r="AR173" s="29">
        <f t="shared" si="36"/>
        <v>6</v>
      </c>
      <c r="AS173" s="29">
        <f t="shared" si="36"/>
        <v>6</v>
      </c>
      <c r="AT173" s="29">
        <f>sum(C173,D173,E173,AL173,H173,I173,AM173)</f>
        <v>10</v>
      </c>
      <c r="AU173" s="29">
        <f>sum(P173:T173)</f>
        <v>12</v>
      </c>
      <c r="AV173" s="29">
        <f>sum(U173:X173)</f>
        <v>8</v>
      </c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</row>
    <row r="174">
      <c r="A174" s="24"/>
      <c r="B174" s="24"/>
      <c r="C174" s="31">
        <v>48.0</v>
      </c>
      <c r="D174" s="31">
        <v>66.0</v>
      </c>
      <c r="E174" s="31">
        <v>64.5</v>
      </c>
      <c r="F174" s="31">
        <v>90.0</v>
      </c>
      <c r="G174" s="31">
        <v>90.0</v>
      </c>
      <c r="H174" s="31">
        <v>90.0</v>
      </c>
      <c r="I174" s="31">
        <v>90.0</v>
      </c>
      <c r="J174" s="31">
        <v>90.0</v>
      </c>
      <c r="K174" s="31">
        <v>73.5</v>
      </c>
      <c r="L174" s="31">
        <v>90.0</v>
      </c>
      <c r="M174" s="31">
        <v>90.0</v>
      </c>
      <c r="N174" s="31">
        <v>72.0</v>
      </c>
      <c r="O174" s="31">
        <v>51.0</v>
      </c>
      <c r="P174" s="31">
        <v>79.5</v>
      </c>
      <c r="Q174" s="31">
        <v>73.5</v>
      </c>
      <c r="R174" s="31">
        <v>75.0</v>
      </c>
      <c r="S174" s="31">
        <v>48.0</v>
      </c>
      <c r="T174" s="31">
        <v>90.0</v>
      </c>
      <c r="U174" s="31">
        <v>78.0</v>
      </c>
      <c r="V174" s="31">
        <v>90.0</v>
      </c>
      <c r="W174" s="31">
        <v>66.0</v>
      </c>
      <c r="X174" s="31">
        <v>88.5</v>
      </c>
      <c r="Y174" s="24"/>
      <c r="Z174" s="24"/>
      <c r="AA174" s="24"/>
      <c r="AB174" s="31">
        <v>85.5</v>
      </c>
      <c r="AC174" s="31">
        <v>90.0</v>
      </c>
      <c r="AD174" s="31">
        <v>52.5</v>
      </c>
      <c r="AE174" s="31">
        <v>82.5</v>
      </c>
      <c r="AF174" s="31">
        <v>85.5</v>
      </c>
      <c r="AG174" s="31">
        <v>90.0</v>
      </c>
      <c r="AH174" s="31">
        <v>90.0</v>
      </c>
      <c r="AI174" s="24"/>
      <c r="AL174" s="6"/>
      <c r="AM174" s="6"/>
      <c r="AO174" s="6">
        <f t="shared" si="25"/>
        <v>14.27574159</v>
      </c>
      <c r="AP174" s="24"/>
      <c r="AQ174" s="32"/>
      <c r="AR174" s="32"/>
      <c r="AS174" s="32"/>
      <c r="AT174" s="32"/>
      <c r="AU174" s="6"/>
      <c r="AV174" s="6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</row>
    <row r="175">
      <c r="A175" s="24"/>
      <c r="B175" s="28" t="s">
        <v>14</v>
      </c>
      <c r="C175" s="29">
        <v>3.0</v>
      </c>
      <c r="D175" s="29">
        <v>2.0</v>
      </c>
      <c r="E175" s="29">
        <v>2.0</v>
      </c>
      <c r="F175" s="29">
        <v>3.0</v>
      </c>
      <c r="G175" s="29">
        <v>5.0</v>
      </c>
      <c r="H175" s="29">
        <v>1.0</v>
      </c>
      <c r="I175" s="29">
        <v>5.0</v>
      </c>
      <c r="J175" s="29">
        <v>1.0</v>
      </c>
      <c r="K175" s="29">
        <v>3.0</v>
      </c>
      <c r="L175" s="29">
        <v>3.0</v>
      </c>
      <c r="M175" s="29">
        <v>5.0</v>
      </c>
      <c r="N175" s="29">
        <v>7.0</v>
      </c>
      <c r="O175" s="29">
        <v>5.0</v>
      </c>
      <c r="P175" s="29">
        <v>3.0</v>
      </c>
      <c r="Q175" s="29">
        <v>1.0</v>
      </c>
      <c r="R175" s="29">
        <v>3.0</v>
      </c>
      <c r="S175" s="29">
        <v>3.0</v>
      </c>
      <c r="T175" s="29">
        <v>5.0</v>
      </c>
      <c r="U175" s="29">
        <v>5.0</v>
      </c>
      <c r="V175" s="29">
        <v>5.0</v>
      </c>
      <c r="W175" s="29">
        <v>1.0</v>
      </c>
      <c r="X175" s="29">
        <v>3.0</v>
      </c>
      <c r="Y175" s="24"/>
      <c r="Z175" s="24"/>
      <c r="AA175" s="24"/>
      <c r="AB175" s="29">
        <v>1.0</v>
      </c>
      <c r="AC175" s="29">
        <v>1.0</v>
      </c>
      <c r="AD175" s="29">
        <v>1.0</v>
      </c>
      <c r="AE175" s="29">
        <v>2.0</v>
      </c>
      <c r="AF175" s="29">
        <v>5.0</v>
      </c>
      <c r="AG175" s="29">
        <v>5.0</v>
      </c>
      <c r="AH175" s="29">
        <v>2.0</v>
      </c>
      <c r="AL175" s="29">
        <f>7-G175</f>
        <v>2</v>
      </c>
      <c r="AM175" s="29">
        <f>7-J175</f>
        <v>6</v>
      </c>
      <c r="AO175" s="6">
        <f t="shared" si="25"/>
        <v>1.726353257</v>
      </c>
      <c r="AP175" s="24"/>
      <c r="AQ175" s="29">
        <f t="shared" ref="AQ175:AS175" si="37">E175</f>
        <v>2</v>
      </c>
      <c r="AR175" s="29">
        <f t="shared" si="37"/>
        <v>3</v>
      </c>
      <c r="AS175" s="29">
        <f t="shared" si="37"/>
        <v>5</v>
      </c>
      <c r="AT175" s="29">
        <f>sum(C175,D175,E175,AL175,H175,I175,AM175)</f>
        <v>21</v>
      </c>
      <c r="AU175" s="29">
        <f>sum(P175:T175)</f>
        <v>15</v>
      </c>
      <c r="AV175" s="29">
        <f>sum(U175:X175)</f>
        <v>14</v>
      </c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</row>
    <row r="176">
      <c r="A176" s="24"/>
      <c r="B176" s="24"/>
      <c r="C176" s="31">
        <v>63.529411764705884</v>
      </c>
      <c r="D176" s="31">
        <v>70.94117647058823</v>
      </c>
      <c r="E176" s="31">
        <v>74.11764705882354</v>
      </c>
      <c r="F176" s="31">
        <v>65.6470588235294</v>
      </c>
      <c r="G176" s="31">
        <v>67.76470588235294</v>
      </c>
      <c r="H176" s="31">
        <v>68.82352941176471</v>
      </c>
      <c r="I176" s="31">
        <v>67.76470588235294</v>
      </c>
      <c r="J176" s="31">
        <v>63.529411764705884</v>
      </c>
      <c r="K176" s="31">
        <v>65.6470588235294</v>
      </c>
      <c r="L176" s="31">
        <v>64.58823529411765</v>
      </c>
      <c r="M176" s="31">
        <v>69.88235294117646</v>
      </c>
      <c r="N176" s="31">
        <v>70.94117647058823</v>
      </c>
      <c r="O176" s="31">
        <v>63.529411764705884</v>
      </c>
      <c r="P176" s="31">
        <v>60.35294117647059</v>
      </c>
      <c r="Q176" s="31">
        <v>62.470588235294116</v>
      </c>
      <c r="R176" s="31">
        <v>63.529411764705884</v>
      </c>
      <c r="S176" s="31">
        <v>61.411764705882355</v>
      </c>
      <c r="T176" s="31">
        <v>56.11764705882353</v>
      </c>
      <c r="U176" s="31">
        <v>63.529411764705884</v>
      </c>
      <c r="V176" s="31">
        <v>65.6470588235294</v>
      </c>
      <c r="W176" s="31">
        <v>77.29411764705883</v>
      </c>
      <c r="X176" s="31">
        <v>55.05882352941177</v>
      </c>
      <c r="Y176" s="24"/>
      <c r="Z176" s="24"/>
      <c r="AA176" s="24"/>
      <c r="AB176" s="31">
        <v>85.76470588235294</v>
      </c>
      <c r="AC176" s="31">
        <v>85.76470588235294</v>
      </c>
      <c r="AD176" s="31">
        <v>88.94117647058823</v>
      </c>
      <c r="AE176" s="31">
        <v>74.11764705882354</v>
      </c>
      <c r="AF176" s="31">
        <v>65.6470588235294</v>
      </c>
      <c r="AG176" s="31">
        <v>68.82352941176471</v>
      </c>
      <c r="AH176" s="31">
        <v>82.58823529411765</v>
      </c>
      <c r="AI176" s="24"/>
      <c r="AL176" s="6"/>
      <c r="AM176" s="6"/>
      <c r="AO176" s="6">
        <f t="shared" si="25"/>
        <v>8.503287364</v>
      </c>
      <c r="AP176" s="24"/>
      <c r="AQ176" s="32"/>
      <c r="AR176" s="32"/>
      <c r="AS176" s="32"/>
      <c r="AT176" s="32"/>
      <c r="AU176" s="6"/>
      <c r="AV176" s="6"/>
      <c r="AX176" s="24"/>
      <c r="AY176" s="24"/>
      <c r="AZ176" s="24"/>
      <c r="BA176" s="24"/>
      <c r="BB176" s="24"/>
      <c r="BC176" s="24"/>
      <c r="BD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</row>
    <row r="177">
      <c r="A177" s="24"/>
      <c r="B177" s="28" t="s">
        <v>15</v>
      </c>
      <c r="C177" s="29">
        <v>5.0</v>
      </c>
      <c r="D177" s="29">
        <v>5.0</v>
      </c>
      <c r="E177" s="29">
        <v>5.0</v>
      </c>
      <c r="F177" s="29">
        <v>5.0</v>
      </c>
      <c r="G177" s="29">
        <v>5.0</v>
      </c>
      <c r="H177" s="29">
        <v>3.0</v>
      </c>
      <c r="I177" s="29">
        <v>3.0</v>
      </c>
      <c r="J177" s="29">
        <v>5.0</v>
      </c>
      <c r="K177" s="29">
        <v>3.0</v>
      </c>
      <c r="L177" s="29">
        <v>5.0</v>
      </c>
      <c r="M177" s="29">
        <v>5.0</v>
      </c>
      <c r="N177" s="29">
        <v>5.0</v>
      </c>
      <c r="O177" s="29">
        <v>6.0</v>
      </c>
      <c r="P177" s="29">
        <v>3.0</v>
      </c>
      <c r="Q177" s="29">
        <v>2.0</v>
      </c>
      <c r="R177" s="29">
        <v>2.0</v>
      </c>
      <c r="S177" s="29">
        <v>3.0</v>
      </c>
      <c r="T177" s="29">
        <v>3.0</v>
      </c>
      <c r="U177" s="29">
        <v>3.0</v>
      </c>
      <c r="V177" s="29">
        <v>3.0</v>
      </c>
      <c r="W177" s="29">
        <v>3.0</v>
      </c>
      <c r="X177" s="29">
        <v>6.0</v>
      </c>
      <c r="Y177" s="24"/>
      <c r="Z177" s="24"/>
      <c r="AA177" s="24"/>
      <c r="AB177" s="29">
        <v>4.0</v>
      </c>
      <c r="AC177" s="29">
        <v>2.0</v>
      </c>
      <c r="AD177" s="29">
        <v>2.0</v>
      </c>
      <c r="AE177" s="29">
        <v>2.0</v>
      </c>
      <c r="AF177" s="29">
        <v>3.0</v>
      </c>
      <c r="AG177" s="29">
        <v>5.0</v>
      </c>
      <c r="AH177" s="29">
        <v>5.0</v>
      </c>
      <c r="AL177" s="29">
        <f>7-G177</f>
        <v>2</v>
      </c>
      <c r="AM177" s="29">
        <f>7-J177</f>
        <v>2</v>
      </c>
      <c r="AO177" s="6">
        <f t="shared" si="25"/>
        <v>1.311187181</v>
      </c>
      <c r="AP177" s="24"/>
      <c r="AQ177" s="29">
        <f t="shared" ref="AQ177:AS177" si="38">E177</f>
        <v>5</v>
      </c>
      <c r="AR177" s="29">
        <f t="shared" si="38"/>
        <v>5</v>
      </c>
      <c r="AS177" s="29">
        <f t="shared" si="38"/>
        <v>5</v>
      </c>
      <c r="AT177" s="29">
        <f>sum(C177,D177,E177,AL177,H177,I177,AM177)</f>
        <v>25</v>
      </c>
      <c r="AU177" s="29">
        <f>sum(P177:T177)</f>
        <v>13</v>
      </c>
      <c r="AV177" s="29">
        <f>sum(U177:X177)</f>
        <v>15</v>
      </c>
      <c r="AX177" s="24"/>
      <c r="AY177" s="24"/>
      <c r="AZ177" s="24"/>
      <c r="BA177" s="24"/>
      <c r="BB177" s="24"/>
      <c r="BC177" s="24"/>
      <c r="BD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</row>
    <row r="178">
      <c r="A178" s="24"/>
      <c r="B178" s="24"/>
      <c r="C178" s="30">
        <v>65.0</v>
      </c>
      <c r="D178" s="30">
        <v>60.0</v>
      </c>
      <c r="E178" s="30">
        <v>42.0</v>
      </c>
      <c r="F178" s="30">
        <v>45.0</v>
      </c>
      <c r="G178" s="30">
        <v>39.0</v>
      </c>
      <c r="H178" s="30">
        <v>59.0</v>
      </c>
      <c r="I178" s="30">
        <v>46.0</v>
      </c>
      <c r="J178" s="30">
        <v>63.0</v>
      </c>
      <c r="K178" s="30">
        <v>59.0</v>
      </c>
      <c r="L178" s="30">
        <v>61.0</v>
      </c>
      <c r="M178" s="30">
        <v>55.0</v>
      </c>
      <c r="N178" s="30">
        <v>59.0</v>
      </c>
      <c r="O178" s="30">
        <v>59.0</v>
      </c>
      <c r="P178" s="30">
        <v>63.0</v>
      </c>
      <c r="Q178" s="30">
        <v>66.0</v>
      </c>
      <c r="R178" s="30">
        <v>67.0</v>
      </c>
      <c r="S178" s="30">
        <v>62.0</v>
      </c>
      <c r="T178" s="30">
        <v>67.0</v>
      </c>
      <c r="U178" s="30">
        <v>55.0</v>
      </c>
      <c r="V178" s="30">
        <v>62.0</v>
      </c>
      <c r="W178" s="30">
        <v>60.0</v>
      </c>
      <c r="X178" s="30">
        <v>73.0</v>
      </c>
      <c r="Y178" s="24"/>
      <c r="Z178" s="24"/>
      <c r="AA178" s="24"/>
      <c r="AB178" s="30">
        <v>65.0</v>
      </c>
      <c r="AC178" s="30">
        <v>71.0</v>
      </c>
      <c r="AD178" s="30">
        <v>69.0</v>
      </c>
      <c r="AE178" s="30">
        <v>65.0</v>
      </c>
      <c r="AF178" s="30">
        <v>69.0</v>
      </c>
      <c r="AG178" s="30">
        <v>68.0</v>
      </c>
      <c r="AH178" s="30">
        <v>66.0</v>
      </c>
      <c r="AL178" s="6"/>
      <c r="AM178" s="6"/>
      <c r="AO178" s="6">
        <f t="shared" si="25"/>
        <v>8.481506976</v>
      </c>
      <c r="AQ178" s="6"/>
      <c r="AR178" s="6"/>
      <c r="AS178" s="6"/>
      <c r="AT178" s="6"/>
      <c r="AU178" s="6"/>
      <c r="AV178" s="6"/>
    </row>
    <row r="179">
      <c r="A179" s="24"/>
      <c r="B179" s="28" t="s">
        <v>16</v>
      </c>
      <c r="C179" s="29">
        <v>6.0</v>
      </c>
      <c r="D179" s="29">
        <v>6.0</v>
      </c>
      <c r="E179" s="29">
        <v>5.0</v>
      </c>
      <c r="F179" s="29">
        <v>2.0</v>
      </c>
      <c r="G179" s="29">
        <v>5.0</v>
      </c>
      <c r="H179" s="29">
        <v>5.0</v>
      </c>
      <c r="I179" s="29">
        <v>3.0</v>
      </c>
      <c r="J179" s="29">
        <v>2.0</v>
      </c>
      <c r="K179" s="29">
        <v>4.0</v>
      </c>
      <c r="L179" s="29">
        <v>4.0</v>
      </c>
      <c r="M179" s="29">
        <v>5.0</v>
      </c>
      <c r="N179" s="29">
        <v>6.0</v>
      </c>
      <c r="O179" s="29">
        <v>5.0</v>
      </c>
      <c r="P179" s="29">
        <v>1.0</v>
      </c>
      <c r="Q179" s="29">
        <v>2.0</v>
      </c>
      <c r="R179" s="29">
        <v>2.0</v>
      </c>
      <c r="S179" s="29">
        <v>4.0</v>
      </c>
      <c r="T179" s="29">
        <v>3.0</v>
      </c>
      <c r="U179" s="29">
        <v>2.0</v>
      </c>
      <c r="V179" s="29">
        <v>5.0</v>
      </c>
      <c r="W179" s="29">
        <v>5.0</v>
      </c>
      <c r="X179" s="29">
        <v>3.0</v>
      </c>
      <c r="Y179" s="24"/>
      <c r="Z179" s="24"/>
      <c r="AA179" s="24"/>
      <c r="AB179" s="29">
        <v>2.0</v>
      </c>
      <c r="AC179" s="29">
        <v>1.0</v>
      </c>
      <c r="AD179" s="29">
        <v>2.0</v>
      </c>
      <c r="AE179" s="29">
        <v>2.0</v>
      </c>
      <c r="AF179" s="29">
        <v>4.0</v>
      </c>
      <c r="AG179" s="29">
        <v>2.0</v>
      </c>
      <c r="AH179" s="29">
        <v>2.0</v>
      </c>
      <c r="AL179" s="29">
        <f>7-G179</f>
        <v>2</v>
      </c>
      <c r="AM179" s="29">
        <f>7-J179</f>
        <v>5</v>
      </c>
      <c r="AO179" s="6">
        <f t="shared" si="25"/>
        <v>1.594324911</v>
      </c>
      <c r="AQ179" s="29">
        <f t="shared" ref="AQ179:AS179" si="39">E179</f>
        <v>5</v>
      </c>
      <c r="AR179" s="29">
        <f t="shared" si="39"/>
        <v>2</v>
      </c>
      <c r="AS179" s="29">
        <f t="shared" si="39"/>
        <v>5</v>
      </c>
      <c r="AT179" s="29">
        <f>sum(C179,D179,E179,AL179,H179,I179,AM179)</f>
        <v>32</v>
      </c>
      <c r="AU179" s="29">
        <f>sum(P179:T179)</f>
        <v>12</v>
      </c>
      <c r="AV179" s="29">
        <f>sum(U179:X179)</f>
        <v>15</v>
      </c>
    </row>
    <row r="180">
      <c r="A180" s="24"/>
      <c r="B180" s="24"/>
      <c r="C180" s="30">
        <v>69.0</v>
      </c>
      <c r="D180" s="30">
        <v>53.0</v>
      </c>
      <c r="E180" s="30">
        <v>54.0</v>
      </c>
      <c r="F180" s="30">
        <v>57.0</v>
      </c>
      <c r="G180" s="30">
        <v>57.0</v>
      </c>
      <c r="H180" s="30">
        <v>60.0</v>
      </c>
      <c r="I180" s="30">
        <v>46.0</v>
      </c>
      <c r="J180" s="30">
        <v>23.0</v>
      </c>
      <c r="K180" s="30">
        <v>22.0</v>
      </c>
      <c r="L180" s="30">
        <v>45.0</v>
      </c>
      <c r="M180" s="30">
        <v>62.0</v>
      </c>
      <c r="N180" s="30">
        <v>70.0</v>
      </c>
      <c r="O180" s="30">
        <v>52.0</v>
      </c>
      <c r="P180" s="30">
        <v>57.0</v>
      </c>
      <c r="Q180" s="30">
        <v>32.0</v>
      </c>
      <c r="R180" s="30">
        <v>55.0</v>
      </c>
      <c r="S180" s="30">
        <v>58.0</v>
      </c>
      <c r="T180" s="30">
        <v>60.0</v>
      </c>
      <c r="U180" s="30">
        <v>58.0</v>
      </c>
      <c r="V180" s="30">
        <v>50.0</v>
      </c>
      <c r="W180" s="30">
        <v>48.0</v>
      </c>
      <c r="X180" s="30">
        <v>56.0</v>
      </c>
      <c r="Y180" s="24"/>
      <c r="Z180" s="24"/>
      <c r="AA180" s="24"/>
      <c r="AB180" s="30">
        <v>75.0</v>
      </c>
      <c r="AC180" s="30">
        <v>72.0</v>
      </c>
      <c r="AD180" s="30">
        <v>64.0</v>
      </c>
      <c r="AE180" s="30">
        <v>68.0</v>
      </c>
      <c r="AF180" s="30">
        <v>74.0</v>
      </c>
      <c r="AG180" s="30">
        <v>68.0</v>
      </c>
      <c r="AH180" s="30">
        <v>70.0</v>
      </c>
      <c r="AL180" s="6"/>
      <c r="AM180" s="6"/>
      <c r="AO180" s="6">
        <f t="shared" si="25"/>
        <v>13.49712613</v>
      </c>
      <c r="AQ180" s="6"/>
      <c r="AR180" s="6"/>
      <c r="AS180" s="6"/>
      <c r="AT180" s="6"/>
      <c r="AU180" s="6"/>
      <c r="AV180" s="6"/>
    </row>
    <row r="181">
      <c r="A181" s="24"/>
      <c r="B181" s="28" t="s">
        <v>17</v>
      </c>
      <c r="C181" s="29">
        <v>2.0</v>
      </c>
      <c r="D181" s="29">
        <v>1.0</v>
      </c>
      <c r="E181" s="29">
        <v>2.0</v>
      </c>
      <c r="F181" s="29">
        <v>6.0</v>
      </c>
      <c r="G181" s="29">
        <v>3.0</v>
      </c>
      <c r="H181" s="29">
        <v>2.0</v>
      </c>
      <c r="I181" s="29">
        <v>5.0</v>
      </c>
      <c r="J181" s="29">
        <v>5.0</v>
      </c>
      <c r="K181" s="29">
        <v>2.0</v>
      </c>
      <c r="L181" s="29">
        <v>2.0</v>
      </c>
      <c r="M181" s="29">
        <v>6.0</v>
      </c>
      <c r="N181" s="29">
        <v>6.0</v>
      </c>
      <c r="O181" s="29">
        <v>6.0</v>
      </c>
      <c r="P181" s="29">
        <v>1.0</v>
      </c>
      <c r="Q181" s="29">
        <v>1.0</v>
      </c>
      <c r="R181" s="29">
        <v>1.0</v>
      </c>
      <c r="S181" s="29">
        <v>1.0</v>
      </c>
      <c r="T181" s="29">
        <v>2.0</v>
      </c>
      <c r="U181" s="29">
        <v>5.0</v>
      </c>
      <c r="V181" s="29">
        <v>6.0</v>
      </c>
      <c r="W181" s="29">
        <v>3.0</v>
      </c>
      <c r="X181" s="29">
        <v>5.0</v>
      </c>
      <c r="Y181" s="24"/>
      <c r="Z181" s="24"/>
      <c r="AA181" s="24"/>
      <c r="AB181" s="29">
        <v>2.0</v>
      </c>
      <c r="AC181" s="29">
        <v>2.0</v>
      </c>
      <c r="AD181" s="29">
        <v>2.0</v>
      </c>
      <c r="AE181" s="29">
        <v>1.0</v>
      </c>
      <c r="AF181" s="29">
        <v>2.0</v>
      </c>
      <c r="AG181" s="29">
        <v>5.0</v>
      </c>
      <c r="AH181" s="29">
        <v>2.0</v>
      </c>
      <c r="AL181" s="29">
        <f>7-G181</f>
        <v>4</v>
      </c>
      <c r="AM181" s="29">
        <f>7-J181</f>
        <v>2</v>
      </c>
      <c r="AO181" s="6">
        <f t="shared" si="25"/>
        <v>1.88851859</v>
      </c>
      <c r="AQ181" s="29">
        <f t="shared" ref="AQ181:AS181" si="40">E181</f>
        <v>2</v>
      </c>
      <c r="AR181" s="29">
        <f t="shared" si="40"/>
        <v>6</v>
      </c>
      <c r="AS181" s="29">
        <f t="shared" si="40"/>
        <v>3</v>
      </c>
      <c r="AT181" s="29">
        <f>sum(C181,D181,E181,AL181,H181,I181,AM181)</f>
        <v>18</v>
      </c>
      <c r="AU181" s="29">
        <f>sum(P181:T181)</f>
        <v>6</v>
      </c>
      <c r="AV181" s="29">
        <f>sum(U181:X181)</f>
        <v>19</v>
      </c>
    </row>
    <row r="182">
      <c r="A182" s="24"/>
      <c r="B182" s="24"/>
      <c r="C182" s="31">
        <v>90.0</v>
      </c>
      <c r="D182" s="31">
        <v>87.88235294117646</v>
      </c>
      <c r="E182" s="31">
        <v>84.70588235294117</v>
      </c>
      <c r="F182" s="31">
        <v>85.76470588235294</v>
      </c>
      <c r="G182" s="31">
        <v>63.529411764705884</v>
      </c>
      <c r="H182" s="31">
        <v>78.3529411764706</v>
      </c>
      <c r="I182" s="31">
        <v>68.82352941176471</v>
      </c>
      <c r="J182" s="31">
        <v>52.94117647058823</v>
      </c>
      <c r="K182" s="31">
        <v>72.0</v>
      </c>
      <c r="L182" s="31">
        <v>65.6470588235294</v>
      </c>
      <c r="M182" s="31">
        <v>76.23529411764706</v>
      </c>
      <c r="N182" s="31">
        <v>78.3529411764706</v>
      </c>
      <c r="O182" s="31">
        <v>66.70588235294117</v>
      </c>
      <c r="P182" s="31">
        <v>78.3529411764706</v>
      </c>
      <c r="Q182" s="31">
        <v>79.41176470588235</v>
      </c>
      <c r="R182" s="31">
        <v>82.58823529411765</v>
      </c>
      <c r="S182" s="31">
        <v>84.70588235294117</v>
      </c>
      <c r="T182" s="31">
        <v>79.41176470588235</v>
      </c>
      <c r="U182" s="31">
        <v>69.88235294117646</v>
      </c>
      <c r="V182" s="31">
        <v>83.6470588235294</v>
      </c>
      <c r="W182" s="31">
        <v>82.58823529411765</v>
      </c>
      <c r="X182" s="31">
        <v>79.41176470588235</v>
      </c>
      <c r="Y182" s="24"/>
      <c r="Z182" s="24"/>
      <c r="AA182" s="24"/>
      <c r="AB182" s="30">
        <v>79.0</v>
      </c>
      <c r="AC182" s="30">
        <v>79.0</v>
      </c>
      <c r="AD182" s="30">
        <v>80.0</v>
      </c>
      <c r="AE182" s="30">
        <v>76.0</v>
      </c>
      <c r="AF182" s="30">
        <v>75.0</v>
      </c>
      <c r="AG182" s="30">
        <v>70.0</v>
      </c>
      <c r="AH182" s="30">
        <v>77.0</v>
      </c>
      <c r="AL182" s="6"/>
      <c r="AM182" s="6"/>
      <c r="AO182" s="6">
        <f t="shared" si="25"/>
        <v>8.06350821</v>
      </c>
      <c r="AQ182" s="6"/>
      <c r="AR182" s="6"/>
      <c r="AS182" s="6"/>
      <c r="AT182" s="6"/>
      <c r="AU182" s="6"/>
      <c r="AV182" s="6"/>
    </row>
    <row r="183">
      <c r="A183" s="24"/>
      <c r="B183" s="28" t="s">
        <v>18</v>
      </c>
      <c r="C183" s="29">
        <v>5.0</v>
      </c>
      <c r="D183" s="29">
        <v>5.0</v>
      </c>
      <c r="E183" s="29">
        <v>2.0</v>
      </c>
      <c r="F183" s="29">
        <v>1.0</v>
      </c>
      <c r="G183" s="29">
        <v>2.0</v>
      </c>
      <c r="H183" s="29">
        <v>2.0</v>
      </c>
      <c r="I183" s="29">
        <v>6.0</v>
      </c>
      <c r="J183" s="29">
        <v>2.0</v>
      </c>
      <c r="K183" s="29">
        <v>2.0</v>
      </c>
      <c r="L183" s="29">
        <v>1.0</v>
      </c>
      <c r="M183" s="29">
        <v>5.0</v>
      </c>
      <c r="N183" s="29">
        <v>5.0</v>
      </c>
      <c r="O183" s="29">
        <v>6.0</v>
      </c>
      <c r="P183" s="29">
        <v>4.0</v>
      </c>
      <c r="Q183" s="29">
        <v>1.0</v>
      </c>
      <c r="R183" s="29">
        <v>1.0</v>
      </c>
      <c r="S183" s="29">
        <v>1.0</v>
      </c>
      <c r="T183" s="29">
        <v>4.0</v>
      </c>
      <c r="U183" s="29">
        <v>2.0</v>
      </c>
      <c r="V183" s="29">
        <v>5.0</v>
      </c>
      <c r="W183" s="29">
        <v>3.0</v>
      </c>
      <c r="X183" s="29">
        <v>2.0</v>
      </c>
      <c r="Y183" s="24"/>
      <c r="Z183" s="24"/>
      <c r="AA183" s="24"/>
      <c r="AB183" s="29">
        <v>2.0</v>
      </c>
      <c r="AC183" s="29">
        <v>2.0</v>
      </c>
      <c r="AD183" s="29">
        <v>2.0</v>
      </c>
      <c r="AE183" s="29">
        <v>1.0</v>
      </c>
      <c r="AF183" s="29">
        <v>2.0</v>
      </c>
      <c r="AG183" s="29">
        <v>2.0</v>
      </c>
      <c r="AH183" s="29">
        <v>2.0</v>
      </c>
      <c r="AL183" s="29">
        <f>7-G183</f>
        <v>5</v>
      </c>
      <c r="AM183" s="29">
        <f>7-J183</f>
        <v>5</v>
      </c>
      <c r="AO183" s="6">
        <f t="shared" si="25"/>
        <v>1.640016821</v>
      </c>
      <c r="AQ183" s="29">
        <f t="shared" ref="AQ183:AS183" si="41">E183</f>
        <v>2</v>
      </c>
      <c r="AR183" s="29">
        <f t="shared" si="41"/>
        <v>1</v>
      </c>
      <c r="AS183" s="29">
        <f t="shared" si="41"/>
        <v>2</v>
      </c>
      <c r="AT183" s="29">
        <f>sum(C183,D183,E183,AL183,H183,I183,AM183)</f>
        <v>30</v>
      </c>
      <c r="AU183" s="29">
        <f>sum(P183:T183)</f>
        <v>11</v>
      </c>
      <c r="AV183" s="29">
        <f>sum(U183:X183)</f>
        <v>12</v>
      </c>
    </row>
    <row r="184">
      <c r="A184" s="24"/>
      <c r="B184" s="24"/>
      <c r="C184" s="30">
        <v>79.0</v>
      </c>
      <c r="D184" s="30">
        <v>80.0</v>
      </c>
      <c r="E184" s="30">
        <v>77.0</v>
      </c>
      <c r="F184" s="30">
        <v>82.0</v>
      </c>
      <c r="G184" s="30">
        <v>78.0</v>
      </c>
      <c r="H184" s="30">
        <v>78.0</v>
      </c>
      <c r="I184" s="30">
        <v>76.0</v>
      </c>
      <c r="J184" s="30">
        <v>77.0</v>
      </c>
      <c r="K184" s="30">
        <v>78.0</v>
      </c>
      <c r="L184" s="30">
        <v>76.0</v>
      </c>
      <c r="M184" s="30">
        <v>76.0</v>
      </c>
      <c r="N184" s="30">
        <v>75.0</v>
      </c>
      <c r="O184" s="30">
        <v>77.0</v>
      </c>
      <c r="P184" s="30">
        <v>77.0</v>
      </c>
      <c r="Q184" s="30">
        <v>80.0</v>
      </c>
      <c r="R184" s="30">
        <v>78.0</v>
      </c>
      <c r="S184" s="30">
        <v>80.0</v>
      </c>
      <c r="T184" s="30">
        <v>77.0</v>
      </c>
      <c r="U184" s="30">
        <v>75.0</v>
      </c>
      <c r="V184" s="30">
        <v>77.0</v>
      </c>
      <c r="W184" s="30">
        <v>78.0</v>
      </c>
      <c r="X184" s="30">
        <v>78.0</v>
      </c>
      <c r="Y184" s="24"/>
      <c r="Z184" s="24"/>
      <c r="AA184" s="24"/>
      <c r="AB184" s="30">
        <v>75.0</v>
      </c>
      <c r="AC184" s="30">
        <v>74.0</v>
      </c>
      <c r="AD184" s="30">
        <v>72.0</v>
      </c>
      <c r="AE184" s="30">
        <v>78.0</v>
      </c>
      <c r="AF184" s="30">
        <v>75.0</v>
      </c>
      <c r="AG184" s="30">
        <v>74.0</v>
      </c>
      <c r="AH184" s="30">
        <v>77.0</v>
      </c>
      <c r="AL184" s="6"/>
      <c r="AM184" s="6"/>
      <c r="AO184" s="6">
        <f t="shared" si="25"/>
        <v>2.112594184</v>
      </c>
      <c r="AQ184" s="6"/>
      <c r="AR184" s="6"/>
      <c r="AS184" s="6"/>
      <c r="AT184" s="6"/>
      <c r="AU184" s="6"/>
      <c r="AV184" s="6"/>
    </row>
    <row r="185">
      <c r="A185" s="24"/>
      <c r="B185" s="28" t="s">
        <v>19</v>
      </c>
      <c r="C185" s="29">
        <v>5.0</v>
      </c>
      <c r="D185" s="29">
        <v>5.0</v>
      </c>
      <c r="E185" s="29">
        <v>7.0</v>
      </c>
      <c r="F185" s="29">
        <v>2.0</v>
      </c>
      <c r="G185" s="29">
        <v>1.0</v>
      </c>
      <c r="H185" s="29">
        <v>6.0</v>
      </c>
      <c r="I185" s="29">
        <v>5.0</v>
      </c>
      <c r="J185" s="29">
        <v>2.0</v>
      </c>
      <c r="K185" s="29">
        <v>5.0</v>
      </c>
      <c r="L185" s="29">
        <v>6.0</v>
      </c>
      <c r="M185" s="29">
        <v>6.0</v>
      </c>
      <c r="N185" s="29">
        <v>2.0</v>
      </c>
      <c r="O185" s="29">
        <v>2.0</v>
      </c>
      <c r="P185" s="29">
        <v>1.0</v>
      </c>
      <c r="Q185" s="29">
        <v>1.0</v>
      </c>
      <c r="R185" s="29">
        <v>1.0</v>
      </c>
      <c r="S185" s="29">
        <v>1.0</v>
      </c>
      <c r="T185" s="29">
        <v>6.0</v>
      </c>
      <c r="U185" s="29">
        <v>5.0</v>
      </c>
      <c r="V185" s="29">
        <v>6.0</v>
      </c>
      <c r="W185" s="29">
        <v>1.0</v>
      </c>
      <c r="X185" s="29">
        <v>7.0</v>
      </c>
      <c r="Y185" s="24"/>
      <c r="Z185" s="24"/>
      <c r="AA185" s="24"/>
      <c r="AB185" s="29">
        <v>2.0</v>
      </c>
      <c r="AC185" s="29">
        <v>1.0</v>
      </c>
      <c r="AD185" s="29">
        <v>1.0</v>
      </c>
      <c r="AE185" s="29">
        <v>2.0</v>
      </c>
      <c r="AF185" s="29">
        <v>2.0</v>
      </c>
      <c r="AG185" s="29">
        <v>2.0</v>
      </c>
      <c r="AH185" s="29">
        <v>2.0</v>
      </c>
      <c r="AL185" s="29">
        <f>7-G185</f>
        <v>6</v>
      </c>
      <c r="AM185" s="29">
        <f>7-J185</f>
        <v>5</v>
      </c>
      <c r="AO185" s="6">
        <f t="shared" si="25"/>
        <v>2.202215633</v>
      </c>
      <c r="AQ185" s="29">
        <f t="shared" ref="AQ185:AS185" si="42">E185</f>
        <v>7</v>
      </c>
      <c r="AR185" s="29">
        <f t="shared" si="42"/>
        <v>2</v>
      </c>
      <c r="AS185" s="29">
        <f t="shared" si="42"/>
        <v>1</v>
      </c>
      <c r="AT185" s="29">
        <f>sum(C185,D185,E185,AL185,H185,I185,AM185)</f>
        <v>39</v>
      </c>
      <c r="AU185" s="29">
        <f>sum(P185:T185)</f>
        <v>10</v>
      </c>
      <c r="AV185" s="29">
        <f>sum(U185:X185)</f>
        <v>19</v>
      </c>
    </row>
    <row r="186">
      <c r="A186" s="24"/>
      <c r="B186" s="24"/>
      <c r="C186" s="30">
        <v>71.0</v>
      </c>
      <c r="D186" s="30">
        <v>48.0</v>
      </c>
      <c r="E186" s="30">
        <v>85.0</v>
      </c>
      <c r="F186" s="30">
        <v>84.0</v>
      </c>
      <c r="G186" s="30">
        <v>84.0</v>
      </c>
      <c r="H186" s="30">
        <v>80.0</v>
      </c>
      <c r="I186" s="30">
        <v>52.0</v>
      </c>
      <c r="J186" s="30">
        <v>64.0</v>
      </c>
      <c r="K186" s="30">
        <v>43.0</v>
      </c>
      <c r="L186" s="30">
        <v>67.0</v>
      </c>
      <c r="M186" s="30">
        <v>77.0</v>
      </c>
      <c r="N186" s="30">
        <v>79.0</v>
      </c>
      <c r="O186" s="30">
        <v>62.0</v>
      </c>
      <c r="P186" s="30">
        <v>83.0</v>
      </c>
      <c r="Q186" s="30">
        <v>85.0</v>
      </c>
      <c r="R186" s="30">
        <v>84.0</v>
      </c>
      <c r="S186" s="30">
        <v>84.0</v>
      </c>
      <c r="T186" s="30">
        <v>70.0</v>
      </c>
      <c r="U186" s="30">
        <v>47.0</v>
      </c>
      <c r="V186" s="30">
        <v>78.0</v>
      </c>
      <c r="W186" s="30">
        <v>78.0</v>
      </c>
      <c r="X186" s="30">
        <v>80.0</v>
      </c>
      <c r="Y186" s="24"/>
      <c r="Z186" s="24"/>
      <c r="AA186" s="24"/>
      <c r="AB186" s="30">
        <v>83.0</v>
      </c>
      <c r="AC186" s="30">
        <v>84.0</v>
      </c>
      <c r="AD186" s="30">
        <v>85.0</v>
      </c>
      <c r="AE186" s="30">
        <v>57.0</v>
      </c>
      <c r="AF186" s="30">
        <v>82.0</v>
      </c>
      <c r="AG186" s="30">
        <v>31.0</v>
      </c>
      <c r="AH186" s="30">
        <v>81.0</v>
      </c>
      <c r="AL186" s="6"/>
      <c r="AM186" s="6"/>
      <c r="AO186" s="6">
        <f t="shared" si="25"/>
        <v>15.19633414</v>
      </c>
      <c r="AQ186" s="6"/>
      <c r="AR186" s="6"/>
      <c r="AS186" s="6"/>
      <c r="AT186" s="6"/>
      <c r="AU186" s="6"/>
      <c r="AV186" s="6"/>
    </row>
    <row r="187">
      <c r="A187" s="24"/>
      <c r="B187" s="35" t="s">
        <v>20</v>
      </c>
      <c r="C187" s="29">
        <v>1.0</v>
      </c>
      <c r="D187" s="29">
        <v>1.0</v>
      </c>
      <c r="E187" s="29">
        <v>3.0</v>
      </c>
      <c r="F187" s="29">
        <v>5.0</v>
      </c>
      <c r="G187" s="29">
        <v>5.0</v>
      </c>
      <c r="H187" s="29">
        <v>1.0</v>
      </c>
      <c r="I187" s="29">
        <v>2.0</v>
      </c>
      <c r="J187" s="29">
        <v>5.0</v>
      </c>
      <c r="K187" s="29">
        <v>5.0</v>
      </c>
      <c r="L187" s="29">
        <v>3.0</v>
      </c>
      <c r="M187" s="29">
        <v>6.0</v>
      </c>
      <c r="N187" s="29">
        <v>2.0</v>
      </c>
      <c r="O187" s="29">
        <v>6.0</v>
      </c>
      <c r="P187" s="29">
        <v>1.0</v>
      </c>
      <c r="Q187" s="29">
        <v>1.0</v>
      </c>
      <c r="R187" s="29">
        <v>1.0</v>
      </c>
      <c r="S187" s="29">
        <v>1.0</v>
      </c>
      <c r="T187" s="29">
        <v>1.0</v>
      </c>
      <c r="U187" s="29">
        <v>2.0</v>
      </c>
      <c r="V187" s="29">
        <v>6.0</v>
      </c>
      <c r="W187" s="29">
        <v>1.0</v>
      </c>
      <c r="X187" s="29">
        <v>1.0</v>
      </c>
      <c r="Y187" s="24"/>
      <c r="Z187" s="24"/>
      <c r="AA187" s="24"/>
      <c r="AB187" s="29">
        <v>1.0</v>
      </c>
      <c r="AC187" s="29">
        <v>2.0</v>
      </c>
      <c r="AD187" s="29">
        <v>4.0</v>
      </c>
      <c r="AE187" s="29">
        <v>2.0</v>
      </c>
      <c r="AF187" s="29">
        <v>2.0</v>
      </c>
      <c r="AG187" s="29">
        <v>2.0</v>
      </c>
      <c r="AH187" s="29">
        <v>2.0</v>
      </c>
      <c r="AI187" s="24"/>
      <c r="AJ187" s="24"/>
      <c r="AL187" s="29">
        <f>7-G187</f>
        <v>2</v>
      </c>
      <c r="AM187" s="29">
        <f>7-J187</f>
        <v>2</v>
      </c>
      <c r="AO187" s="6">
        <f t="shared" si="25"/>
        <v>1.80311717</v>
      </c>
      <c r="AQ187" s="29">
        <f t="shared" ref="AQ187:AS187" si="43">E187</f>
        <v>3</v>
      </c>
      <c r="AR187" s="29">
        <f t="shared" si="43"/>
        <v>5</v>
      </c>
      <c r="AS187" s="29">
        <f t="shared" si="43"/>
        <v>5</v>
      </c>
      <c r="AT187" s="29">
        <f>sum(C187,D187,E187,AL187,H187,I187,AM187)</f>
        <v>12</v>
      </c>
      <c r="AU187" s="29">
        <f>sum(P187:T187)</f>
        <v>5</v>
      </c>
      <c r="AV187" s="29">
        <f>sum(U187:X187)</f>
        <v>10</v>
      </c>
    </row>
    <row r="188">
      <c r="A188" s="24"/>
      <c r="B188" s="24"/>
      <c r="C188" s="30">
        <v>60.0</v>
      </c>
      <c r="D188" s="30">
        <v>57.0</v>
      </c>
      <c r="E188" s="30">
        <v>43.0</v>
      </c>
      <c r="F188" s="30">
        <v>62.0</v>
      </c>
      <c r="G188" s="30">
        <v>71.0</v>
      </c>
      <c r="H188" s="30">
        <v>82.0</v>
      </c>
      <c r="I188" s="30">
        <v>46.0</v>
      </c>
      <c r="J188" s="30">
        <v>47.0</v>
      </c>
      <c r="K188" s="30">
        <v>60.0</v>
      </c>
      <c r="L188" s="30">
        <v>72.0</v>
      </c>
      <c r="M188" s="30">
        <v>72.0</v>
      </c>
      <c r="N188" s="30">
        <v>40.0</v>
      </c>
      <c r="O188" s="30">
        <v>70.0</v>
      </c>
      <c r="P188" s="30">
        <v>84.0</v>
      </c>
      <c r="Q188" s="30">
        <v>73.0</v>
      </c>
      <c r="R188" s="30">
        <v>74.0</v>
      </c>
      <c r="S188" s="30">
        <v>72.0</v>
      </c>
      <c r="T188" s="30">
        <v>70.0</v>
      </c>
      <c r="U188" s="30">
        <v>62.0</v>
      </c>
      <c r="V188" s="30">
        <v>76.0</v>
      </c>
      <c r="W188" s="30">
        <v>90.0</v>
      </c>
      <c r="X188" s="30">
        <v>78.0</v>
      </c>
      <c r="Y188" s="24"/>
      <c r="Z188" s="24"/>
      <c r="AA188" s="24"/>
      <c r="AB188" s="30">
        <v>72.0</v>
      </c>
      <c r="AC188" s="30">
        <v>66.0</v>
      </c>
      <c r="AD188" s="30">
        <v>47.0</v>
      </c>
      <c r="AE188" s="30">
        <v>60.0</v>
      </c>
      <c r="AF188" s="30">
        <v>78.0</v>
      </c>
      <c r="AG188" s="30">
        <v>76.0</v>
      </c>
      <c r="AH188" s="30">
        <v>81.0</v>
      </c>
      <c r="AI188" s="24"/>
      <c r="AJ188" s="24"/>
      <c r="AL188" s="6"/>
      <c r="AM188" s="6"/>
      <c r="AO188" s="6">
        <f t="shared" si="25"/>
        <v>12.96404653</v>
      </c>
      <c r="AQ188" s="6"/>
      <c r="AR188" s="6"/>
      <c r="AS188" s="6"/>
      <c r="AT188" s="6"/>
      <c r="AU188" s="6"/>
      <c r="AV188" s="6"/>
    </row>
    <row r="189">
      <c r="A189" s="24"/>
      <c r="B189" s="35" t="s">
        <v>21</v>
      </c>
      <c r="C189" s="24">
        <v>7.0</v>
      </c>
      <c r="D189" s="24">
        <v>3.0</v>
      </c>
      <c r="E189" s="24">
        <v>1.0</v>
      </c>
      <c r="F189" s="24">
        <v>1.0</v>
      </c>
      <c r="G189" s="24">
        <v>1.0</v>
      </c>
      <c r="H189" s="24">
        <v>7.0</v>
      </c>
      <c r="I189" s="24">
        <v>7.0</v>
      </c>
      <c r="J189" s="24">
        <v>1.0</v>
      </c>
      <c r="K189" s="24">
        <v>1.0</v>
      </c>
      <c r="L189" s="24">
        <v>1.0</v>
      </c>
      <c r="M189" s="24">
        <v>1.0</v>
      </c>
      <c r="N189" s="24">
        <v>1.0</v>
      </c>
      <c r="O189" s="24">
        <v>2.0</v>
      </c>
      <c r="P189" s="24">
        <v>3.0</v>
      </c>
      <c r="Q189" s="24">
        <v>1.0</v>
      </c>
      <c r="R189" s="24">
        <v>5.0</v>
      </c>
      <c r="S189" s="24">
        <v>2.0</v>
      </c>
      <c r="T189" s="24">
        <v>5.0</v>
      </c>
      <c r="U189" s="24">
        <v>2.0</v>
      </c>
      <c r="V189" s="24">
        <v>7.0</v>
      </c>
      <c r="W189" s="24">
        <v>6.0</v>
      </c>
      <c r="X189" s="24">
        <v>6.0</v>
      </c>
      <c r="Y189" s="24"/>
      <c r="Z189" s="24"/>
      <c r="AA189" s="24"/>
      <c r="AB189" s="24">
        <v>4.0</v>
      </c>
      <c r="AC189" s="24">
        <v>6.0</v>
      </c>
      <c r="AD189" s="24">
        <v>5.0</v>
      </c>
      <c r="AE189" s="24">
        <v>4.0</v>
      </c>
      <c r="AF189" s="24">
        <v>4.0</v>
      </c>
      <c r="AG189" s="24">
        <v>6.0</v>
      </c>
      <c r="AH189" s="24">
        <v>6.0</v>
      </c>
      <c r="AI189" s="24"/>
      <c r="AJ189" s="24"/>
      <c r="AL189" s="29">
        <f>7-G189</f>
        <v>6</v>
      </c>
      <c r="AM189" s="29">
        <f>7-J189</f>
        <v>6</v>
      </c>
      <c r="AO189" s="6">
        <f t="shared" si="25"/>
        <v>2.318802987</v>
      </c>
      <c r="AQ189" s="29">
        <f t="shared" ref="AQ189:AS189" si="44">E189</f>
        <v>1</v>
      </c>
      <c r="AR189" s="29">
        <f t="shared" si="44"/>
        <v>1</v>
      </c>
      <c r="AS189" s="29">
        <f t="shared" si="44"/>
        <v>1</v>
      </c>
      <c r="AT189" s="29">
        <f>sum(C189,D189,E189,AL189,H189,I189,AM189)</f>
        <v>37</v>
      </c>
      <c r="AU189" s="29">
        <f>sum(P189:T189)</f>
        <v>16</v>
      </c>
      <c r="AV189" s="29">
        <f>sum(U189:X189)</f>
        <v>21</v>
      </c>
    </row>
    <row r="190">
      <c r="A190" s="24"/>
      <c r="B190" s="24"/>
      <c r="C190" s="31">
        <v>90.0</v>
      </c>
      <c r="D190" s="31">
        <v>60.0</v>
      </c>
      <c r="E190" s="31">
        <v>90.0</v>
      </c>
      <c r="F190" s="31">
        <v>90.0</v>
      </c>
      <c r="G190" s="31">
        <v>90.0</v>
      </c>
      <c r="H190" s="31">
        <v>90.0</v>
      </c>
      <c r="I190" s="31">
        <v>90.0</v>
      </c>
      <c r="J190" s="31">
        <v>67.5</v>
      </c>
      <c r="K190" s="31">
        <v>90.0</v>
      </c>
      <c r="L190" s="31">
        <v>85.5</v>
      </c>
      <c r="M190" s="31">
        <v>90.0</v>
      </c>
      <c r="N190" s="31">
        <v>90.0</v>
      </c>
      <c r="O190" s="31">
        <v>70.5</v>
      </c>
      <c r="P190" s="31">
        <v>75.0</v>
      </c>
      <c r="Q190" s="31">
        <v>90.0</v>
      </c>
      <c r="R190" s="31">
        <v>90.0</v>
      </c>
      <c r="S190" s="31">
        <v>90.0</v>
      </c>
      <c r="T190" s="31">
        <v>90.0</v>
      </c>
      <c r="U190" s="31">
        <v>90.0</v>
      </c>
      <c r="V190" s="31">
        <v>90.0</v>
      </c>
      <c r="W190" s="31">
        <v>90.0</v>
      </c>
      <c r="X190" s="31">
        <v>90.0</v>
      </c>
      <c r="Y190" s="24"/>
      <c r="Z190" s="24"/>
      <c r="AA190" s="24"/>
      <c r="AB190" s="31">
        <v>82.5</v>
      </c>
      <c r="AC190" s="31">
        <v>90.0</v>
      </c>
      <c r="AD190" s="31">
        <v>84.0</v>
      </c>
      <c r="AE190" s="31">
        <v>90.0</v>
      </c>
      <c r="AF190" s="31">
        <v>90.0</v>
      </c>
      <c r="AG190" s="31">
        <v>90.0</v>
      </c>
      <c r="AH190" s="31">
        <v>90.0</v>
      </c>
      <c r="AI190" s="24"/>
      <c r="AJ190" s="24"/>
      <c r="AL190" s="6"/>
      <c r="AM190" s="6"/>
      <c r="AO190" s="6">
        <f t="shared" si="25"/>
        <v>7.891739773</v>
      </c>
      <c r="AQ190" s="6"/>
      <c r="AR190" s="6"/>
      <c r="AS190" s="6"/>
      <c r="AT190" s="6"/>
      <c r="AU190" s="6"/>
      <c r="AV190" s="6"/>
    </row>
    <row r="191">
      <c r="A191" s="24"/>
      <c r="B191" s="35" t="s">
        <v>22</v>
      </c>
      <c r="C191" s="24">
        <v>2.0</v>
      </c>
      <c r="D191" s="24">
        <v>2.0</v>
      </c>
      <c r="E191" s="24">
        <v>5.0</v>
      </c>
      <c r="F191" s="24">
        <v>6.0</v>
      </c>
      <c r="G191" s="24">
        <v>3.0</v>
      </c>
      <c r="H191" s="24">
        <v>2.0</v>
      </c>
      <c r="I191" s="24">
        <v>6.0</v>
      </c>
      <c r="J191" s="24">
        <v>5.0</v>
      </c>
      <c r="K191" s="24">
        <v>2.0</v>
      </c>
      <c r="L191" s="24">
        <v>6.0</v>
      </c>
      <c r="M191" s="24">
        <v>5.0</v>
      </c>
      <c r="N191" s="24">
        <v>6.0</v>
      </c>
      <c r="O191" s="24">
        <v>5.0</v>
      </c>
      <c r="P191" s="24">
        <v>2.0</v>
      </c>
      <c r="Q191" s="24">
        <v>2.0</v>
      </c>
      <c r="R191" s="24">
        <v>2.0</v>
      </c>
      <c r="S191" s="24">
        <v>5.0</v>
      </c>
      <c r="T191" s="24">
        <v>2.0</v>
      </c>
      <c r="U191" s="24">
        <v>6.0</v>
      </c>
      <c r="V191" s="24">
        <v>5.0</v>
      </c>
      <c r="W191" s="24">
        <v>6.0</v>
      </c>
      <c r="X191" s="24">
        <v>5.0</v>
      </c>
      <c r="Y191" s="24"/>
      <c r="Z191" s="24"/>
      <c r="AA191" s="24"/>
      <c r="AB191" s="24">
        <v>2.0</v>
      </c>
      <c r="AC191" s="24">
        <v>2.0</v>
      </c>
      <c r="AD191" s="24">
        <v>2.0</v>
      </c>
      <c r="AE191" s="24">
        <v>5.0</v>
      </c>
      <c r="AF191" s="24">
        <v>3.0</v>
      </c>
      <c r="AG191" s="24">
        <v>2.0</v>
      </c>
      <c r="AH191" s="24">
        <v>2.0</v>
      </c>
      <c r="AI191" s="24"/>
      <c r="AJ191" s="24"/>
      <c r="AL191" s="29">
        <f>7-G191</f>
        <v>4</v>
      </c>
      <c r="AM191" s="29">
        <f>7-J191</f>
        <v>2</v>
      </c>
      <c r="AO191" s="6">
        <f t="shared" si="25"/>
        <v>1.729916425</v>
      </c>
      <c r="AQ191" s="29">
        <f t="shared" ref="AQ191:AS191" si="45">E191</f>
        <v>5</v>
      </c>
      <c r="AR191" s="29">
        <f t="shared" si="45"/>
        <v>6</v>
      </c>
      <c r="AS191" s="29">
        <f t="shared" si="45"/>
        <v>3</v>
      </c>
      <c r="AT191" s="29">
        <f>sum(C191,D191,E191,AL191,H191,I191,AM191)</f>
        <v>23</v>
      </c>
      <c r="AU191" s="29">
        <f>sum(P191:T191)</f>
        <v>13</v>
      </c>
      <c r="AV191" s="29">
        <f>sum(U191:X191)</f>
        <v>22</v>
      </c>
    </row>
    <row r="192">
      <c r="A192" s="24"/>
      <c r="B192" s="24"/>
      <c r="C192" s="31">
        <v>67.5</v>
      </c>
      <c r="D192" s="31">
        <v>67.5</v>
      </c>
      <c r="E192" s="31">
        <v>66.0</v>
      </c>
      <c r="F192" s="31">
        <v>76.5</v>
      </c>
      <c r="G192" s="31">
        <v>79.5</v>
      </c>
      <c r="H192" s="31">
        <v>90.0</v>
      </c>
      <c r="I192" s="31">
        <v>84.0</v>
      </c>
      <c r="J192" s="31">
        <v>82.5</v>
      </c>
      <c r="K192" s="31">
        <v>87.0</v>
      </c>
      <c r="L192" s="31">
        <v>88.5</v>
      </c>
      <c r="M192" s="31">
        <v>85.5</v>
      </c>
      <c r="N192" s="31">
        <v>90.0</v>
      </c>
      <c r="O192" s="31">
        <v>75.0</v>
      </c>
      <c r="P192" s="31">
        <v>75.0</v>
      </c>
      <c r="Q192" s="31">
        <v>90.0</v>
      </c>
      <c r="R192" s="31">
        <v>82.5</v>
      </c>
      <c r="S192" s="31">
        <v>82.5</v>
      </c>
      <c r="T192" s="31">
        <v>82.5</v>
      </c>
      <c r="U192" s="31">
        <v>90.0</v>
      </c>
      <c r="V192" s="31">
        <v>78.0</v>
      </c>
      <c r="W192" s="31">
        <v>67.5</v>
      </c>
      <c r="X192" s="31">
        <v>75.0</v>
      </c>
      <c r="Y192" s="24"/>
      <c r="Z192" s="24"/>
      <c r="AA192" s="24"/>
      <c r="AB192" s="31">
        <v>79.5</v>
      </c>
      <c r="AC192" s="31">
        <v>90.0</v>
      </c>
      <c r="AD192" s="31">
        <v>79.5</v>
      </c>
      <c r="AE192" s="31">
        <v>84.0</v>
      </c>
      <c r="AF192" s="31">
        <v>79.5</v>
      </c>
      <c r="AG192" s="31">
        <v>84.0</v>
      </c>
      <c r="AH192" s="31">
        <v>81.0</v>
      </c>
      <c r="AI192" s="24"/>
      <c r="AJ192" s="24"/>
      <c r="AL192" s="6"/>
      <c r="AM192" s="6"/>
      <c r="AO192" s="6">
        <f t="shared" si="25"/>
        <v>7.242500793</v>
      </c>
      <c r="AQ192" s="6"/>
      <c r="AR192" s="6"/>
      <c r="AS192" s="6"/>
      <c r="AT192" s="6"/>
      <c r="AU192" s="6"/>
      <c r="AV192" s="6"/>
    </row>
    <row r="193">
      <c r="A193" s="24"/>
      <c r="B193" s="35" t="s">
        <v>23</v>
      </c>
      <c r="C193" s="24">
        <v>5.0</v>
      </c>
      <c r="D193" s="24">
        <v>1.0</v>
      </c>
      <c r="E193" s="24">
        <v>6.0</v>
      </c>
      <c r="F193" s="24">
        <v>1.0</v>
      </c>
      <c r="G193" s="24">
        <v>3.0</v>
      </c>
      <c r="H193" s="24">
        <v>1.0</v>
      </c>
      <c r="I193" s="24">
        <v>7.0</v>
      </c>
      <c r="J193" s="24">
        <v>5.0</v>
      </c>
      <c r="K193" s="24">
        <v>4.0</v>
      </c>
      <c r="L193" s="24">
        <v>4.0</v>
      </c>
      <c r="M193" s="24">
        <v>7.0</v>
      </c>
      <c r="N193" s="24">
        <v>3.0</v>
      </c>
      <c r="O193" s="24">
        <v>4.0</v>
      </c>
      <c r="P193" s="24">
        <v>4.0</v>
      </c>
      <c r="Q193" s="24">
        <v>4.0</v>
      </c>
      <c r="R193" s="24">
        <v>4.0</v>
      </c>
      <c r="S193" s="24">
        <v>4.0</v>
      </c>
      <c r="T193" s="24">
        <v>1.0</v>
      </c>
      <c r="U193" s="24">
        <v>5.0</v>
      </c>
      <c r="V193" s="24">
        <v>5.0</v>
      </c>
      <c r="W193" s="24">
        <v>1.0</v>
      </c>
      <c r="X193" s="24">
        <v>5.0</v>
      </c>
      <c r="Y193" s="24"/>
      <c r="Z193" s="24"/>
      <c r="AA193" s="24"/>
      <c r="AB193" s="24">
        <v>2.0</v>
      </c>
      <c r="AC193" s="24">
        <v>1.0</v>
      </c>
      <c r="AD193" s="24">
        <v>6.0</v>
      </c>
      <c r="AE193" s="24">
        <v>2.0</v>
      </c>
      <c r="AF193" s="24">
        <v>1.0</v>
      </c>
      <c r="AG193" s="24">
        <v>2.0</v>
      </c>
      <c r="AH193" s="24">
        <v>3.0</v>
      </c>
      <c r="AI193" s="24"/>
      <c r="AJ193" s="24"/>
      <c r="AL193" s="29">
        <f>7-G193</f>
        <v>4</v>
      </c>
      <c r="AM193" s="29">
        <f>7-J193</f>
        <v>2</v>
      </c>
      <c r="AO193" s="6">
        <f t="shared" si="25"/>
        <v>1.901516118</v>
      </c>
      <c r="AQ193" s="29">
        <f t="shared" ref="AQ193:AS193" si="46">E193</f>
        <v>6</v>
      </c>
      <c r="AR193" s="29">
        <f t="shared" si="46"/>
        <v>1</v>
      </c>
      <c r="AS193" s="29">
        <f t="shared" si="46"/>
        <v>3</v>
      </c>
      <c r="AT193" s="29">
        <f>sum(C193,D193,E193,AL193,H193,I193,AM193)</f>
        <v>26</v>
      </c>
      <c r="AU193" s="29">
        <f>sum(P193:T193)</f>
        <v>17</v>
      </c>
      <c r="AV193" s="29">
        <f>sum(U193:X193)</f>
        <v>16</v>
      </c>
      <c r="AX193" s="4"/>
      <c r="AY193" s="4"/>
      <c r="AZ193" s="4"/>
      <c r="BA193" s="4"/>
      <c r="BB193" s="4"/>
      <c r="BC193" s="4"/>
    </row>
    <row r="194">
      <c r="A194" s="24"/>
      <c r="B194" s="24"/>
      <c r="C194" s="31">
        <v>18.0</v>
      </c>
      <c r="D194" s="31">
        <v>58.5</v>
      </c>
      <c r="E194" s="31">
        <v>70.5</v>
      </c>
      <c r="F194" s="31">
        <v>49.5</v>
      </c>
      <c r="G194" s="31">
        <v>36.0</v>
      </c>
      <c r="H194" s="31">
        <v>66.0</v>
      </c>
      <c r="I194" s="31">
        <v>72.0</v>
      </c>
      <c r="J194" s="31">
        <v>52.5</v>
      </c>
      <c r="K194" s="31">
        <v>76.5</v>
      </c>
      <c r="L194" s="31">
        <v>60.0</v>
      </c>
      <c r="M194" s="31">
        <v>75.0</v>
      </c>
      <c r="N194" s="31">
        <v>49.5</v>
      </c>
      <c r="O194" s="31">
        <v>54.0</v>
      </c>
      <c r="P194" s="31">
        <v>63.0</v>
      </c>
      <c r="Q194" s="31">
        <v>57.0</v>
      </c>
      <c r="R194" s="31">
        <v>55.5</v>
      </c>
      <c r="S194" s="31">
        <v>52.5</v>
      </c>
      <c r="T194" s="31">
        <v>52.5</v>
      </c>
      <c r="U194" s="31">
        <v>49.5</v>
      </c>
      <c r="V194" s="31">
        <v>52.5</v>
      </c>
      <c r="W194" s="31">
        <v>52.5</v>
      </c>
      <c r="X194" s="31">
        <v>51.0</v>
      </c>
      <c r="Y194" s="24"/>
      <c r="Z194" s="24"/>
      <c r="AA194" s="24"/>
      <c r="AB194" s="31">
        <v>42.0</v>
      </c>
      <c r="AC194" s="31">
        <v>42.0</v>
      </c>
      <c r="AD194" s="31">
        <v>52.5</v>
      </c>
      <c r="AE194" s="31">
        <v>49.5</v>
      </c>
      <c r="AF194" s="31">
        <v>46.5</v>
      </c>
      <c r="AG194" s="31">
        <v>49.5</v>
      </c>
      <c r="AH194" s="31">
        <v>49.5</v>
      </c>
      <c r="AI194" s="24"/>
      <c r="AJ194" s="24"/>
      <c r="AL194" s="6"/>
      <c r="AM194" s="6"/>
      <c r="AO194" s="6">
        <f t="shared" si="25"/>
        <v>11.86298005</v>
      </c>
      <c r="AQ194" s="6"/>
      <c r="AR194" s="6"/>
      <c r="AS194" s="6"/>
      <c r="AT194" s="6"/>
      <c r="AU194" s="6"/>
      <c r="AV194" s="6"/>
      <c r="AX194" s="4"/>
      <c r="AY194" s="4"/>
      <c r="AZ194" s="4"/>
      <c r="BA194" s="4"/>
      <c r="BB194" s="4"/>
      <c r="BC194" s="4"/>
    </row>
    <row r="195">
      <c r="A195" s="24"/>
      <c r="B195" s="35" t="s">
        <v>24</v>
      </c>
      <c r="C195" s="24">
        <v>2.0</v>
      </c>
      <c r="D195" s="24">
        <v>2.0</v>
      </c>
      <c r="E195" s="24">
        <v>2.0</v>
      </c>
      <c r="F195" s="24">
        <v>2.0</v>
      </c>
      <c r="G195" s="24">
        <v>6.0</v>
      </c>
      <c r="H195" s="24">
        <v>2.0</v>
      </c>
      <c r="I195" s="24">
        <v>2.0</v>
      </c>
      <c r="J195" s="24">
        <v>6.0</v>
      </c>
      <c r="K195" s="24">
        <v>2.0</v>
      </c>
      <c r="L195" s="24">
        <v>2.0</v>
      </c>
      <c r="M195" s="24">
        <v>6.0</v>
      </c>
      <c r="N195" s="24">
        <v>6.0</v>
      </c>
      <c r="O195" s="24">
        <v>2.0</v>
      </c>
      <c r="P195" s="24">
        <v>2.0</v>
      </c>
      <c r="Q195" s="24">
        <v>2.0</v>
      </c>
      <c r="R195" s="24">
        <v>2.0</v>
      </c>
      <c r="S195" s="24">
        <v>2.0</v>
      </c>
      <c r="T195" s="24">
        <v>2.0</v>
      </c>
      <c r="U195" s="24">
        <v>1.0</v>
      </c>
      <c r="V195" s="24">
        <v>5.0</v>
      </c>
      <c r="W195" s="24">
        <v>2.0</v>
      </c>
      <c r="X195" s="24">
        <v>2.0</v>
      </c>
      <c r="Y195" s="24"/>
      <c r="Z195" s="24"/>
      <c r="AA195" s="24"/>
      <c r="AB195" s="24">
        <v>1.0</v>
      </c>
      <c r="AC195" s="24">
        <v>1.0</v>
      </c>
      <c r="AD195" s="24">
        <v>1.0</v>
      </c>
      <c r="AE195" s="24">
        <v>1.0</v>
      </c>
      <c r="AF195" s="24">
        <v>2.0</v>
      </c>
      <c r="AG195" s="24">
        <v>1.0</v>
      </c>
      <c r="AH195" s="24">
        <v>2.0</v>
      </c>
      <c r="AI195" s="24"/>
      <c r="AJ195" s="24"/>
      <c r="AL195" s="29">
        <f>7-G195</f>
        <v>1</v>
      </c>
      <c r="AM195" s="29">
        <f>7-J195</f>
        <v>1</v>
      </c>
      <c r="AO195" s="6">
        <f t="shared" si="25"/>
        <v>1.616570596</v>
      </c>
      <c r="AQ195" s="29">
        <f t="shared" ref="AQ195:AS195" si="47">E195</f>
        <v>2</v>
      </c>
      <c r="AR195" s="29">
        <f t="shared" si="47"/>
        <v>2</v>
      </c>
      <c r="AS195" s="29">
        <f t="shared" si="47"/>
        <v>6</v>
      </c>
      <c r="AT195" s="29">
        <f>sum(C195,D195,E195,AL195,H195,I195,AM195)</f>
        <v>12</v>
      </c>
      <c r="AU195" s="29">
        <f>sum(P195:T195)</f>
        <v>10</v>
      </c>
      <c r="AV195" s="29">
        <f>sum(U195:X195)</f>
        <v>10</v>
      </c>
      <c r="AX195" s="4"/>
      <c r="AY195" s="4"/>
      <c r="AZ195" s="4"/>
      <c r="BA195" s="4"/>
      <c r="BB195" s="4"/>
      <c r="BC195" s="4"/>
    </row>
    <row r="196">
      <c r="A196" s="24"/>
      <c r="B196" s="24"/>
      <c r="C196" s="31">
        <v>78.0</v>
      </c>
      <c r="D196" s="31">
        <v>79.5</v>
      </c>
      <c r="E196" s="31">
        <v>82.5</v>
      </c>
      <c r="F196" s="31">
        <v>39.0</v>
      </c>
      <c r="G196" s="31">
        <v>66.0</v>
      </c>
      <c r="H196" s="31">
        <v>69.0</v>
      </c>
      <c r="I196" s="31">
        <v>78.0</v>
      </c>
      <c r="J196" s="31">
        <v>73.5</v>
      </c>
      <c r="K196" s="31">
        <v>70.5</v>
      </c>
      <c r="L196" s="31">
        <v>78.0</v>
      </c>
      <c r="M196" s="31">
        <v>69.0</v>
      </c>
      <c r="N196" s="31">
        <v>79.5</v>
      </c>
      <c r="O196" s="31">
        <v>45.0</v>
      </c>
      <c r="P196" s="31">
        <v>64.5</v>
      </c>
      <c r="Q196" s="31">
        <v>69.0</v>
      </c>
      <c r="R196" s="31">
        <v>72.0</v>
      </c>
      <c r="S196" s="31">
        <v>76.5</v>
      </c>
      <c r="T196" s="31">
        <v>76.5</v>
      </c>
      <c r="U196" s="31">
        <v>90.0</v>
      </c>
      <c r="V196" s="31">
        <v>42.0</v>
      </c>
      <c r="W196" s="31">
        <v>64.5</v>
      </c>
      <c r="X196" s="31">
        <v>72.0</v>
      </c>
      <c r="Y196" s="24"/>
      <c r="Z196" s="24"/>
      <c r="AA196" s="24"/>
      <c r="AB196" s="31">
        <v>79.5</v>
      </c>
      <c r="AC196" s="31">
        <v>73.5</v>
      </c>
      <c r="AD196" s="31">
        <v>76.5</v>
      </c>
      <c r="AE196" s="31">
        <v>79.5</v>
      </c>
      <c r="AF196" s="31">
        <v>79.5</v>
      </c>
      <c r="AG196" s="31">
        <v>85.5</v>
      </c>
      <c r="AH196" s="31">
        <v>69.0</v>
      </c>
      <c r="AI196" s="24"/>
      <c r="AJ196" s="24"/>
      <c r="AL196" s="6"/>
      <c r="AM196" s="6"/>
      <c r="AO196" s="6">
        <f t="shared" si="25"/>
        <v>11.91030208</v>
      </c>
      <c r="AQ196" s="6"/>
      <c r="AR196" s="6"/>
      <c r="AS196" s="6"/>
      <c r="AT196" s="6"/>
      <c r="AU196" s="6"/>
      <c r="AV196" s="6"/>
      <c r="AX196" s="4"/>
      <c r="AY196" s="4"/>
      <c r="AZ196" s="4"/>
      <c r="BA196" s="4"/>
      <c r="BB196" s="4"/>
      <c r="BC196" s="4"/>
    </row>
    <row r="197">
      <c r="A197" s="24"/>
      <c r="B197" s="35" t="s">
        <v>25</v>
      </c>
      <c r="C197" s="24">
        <v>2.0</v>
      </c>
      <c r="D197" s="24">
        <v>1.0</v>
      </c>
      <c r="E197" s="24">
        <v>1.0</v>
      </c>
      <c r="F197" s="24">
        <v>2.0</v>
      </c>
      <c r="G197" s="24">
        <v>6.0</v>
      </c>
      <c r="H197" s="24">
        <v>2.0</v>
      </c>
      <c r="I197" s="24">
        <v>2.0</v>
      </c>
      <c r="J197" s="24">
        <v>3.0</v>
      </c>
      <c r="K197" s="24">
        <v>2.0</v>
      </c>
      <c r="L197" s="24">
        <v>4.0</v>
      </c>
      <c r="M197" s="24">
        <v>7.0</v>
      </c>
      <c r="N197" s="24">
        <v>7.0</v>
      </c>
      <c r="O197" s="24">
        <v>2.0</v>
      </c>
      <c r="P197" s="24">
        <v>1.0</v>
      </c>
      <c r="Q197" s="24">
        <v>1.0</v>
      </c>
      <c r="R197" s="24">
        <v>1.0</v>
      </c>
      <c r="S197" s="24">
        <v>2.0</v>
      </c>
      <c r="T197" s="24">
        <v>2.0</v>
      </c>
      <c r="U197" s="24">
        <v>2.0</v>
      </c>
      <c r="V197" s="24">
        <v>2.0</v>
      </c>
      <c r="W197" s="24">
        <v>1.0</v>
      </c>
      <c r="X197" s="24">
        <v>1.0</v>
      </c>
      <c r="Y197" s="24"/>
      <c r="Z197" s="24"/>
      <c r="AA197" s="24"/>
      <c r="AB197" s="24">
        <v>1.0</v>
      </c>
      <c r="AC197" s="24">
        <v>1.0</v>
      </c>
      <c r="AD197" s="24">
        <v>1.0</v>
      </c>
      <c r="AE197" s="24">
        <v>1.0</v>
      </c>
      <c r="AF197" s="24">
        <v>1.0</v>
      </c>
      <c r="AG197" s="24">
        <v>1.0</v>
      </c>
      <c r="AH197" s="24">
        <v>1.0</v>
      </c>
      <c r="AI197" s="24"/>
      <c r="AJ197" s="24"/>
      <c r="AL197" s="29">
        <f>7-G197</f>
        <v>1</v>
      </c>
      <c r="AM197" s="29">
        <f>7-J197</f>
        <v>4</v>
      </c>
      <c r="AO197" s="6">
        <f t="shared" si="25"/>
        <v>1.739146498</v>
      </c>
      <c r="AQ197" s="29">
        <f t="shared" ref="AQ197:AS197" si="48">E197</f>
        <v>1</v>
      </c>
      <c r="AR197" s="29">
        <f t="shared" si="48"/>
        <v>2</v>
      </c>
      <c r="AS197" s="29">
        <f t="shared" si="48"/>
        <v>6</v>
      </c>
      <c r="AT197" s="29">
        <f>sum(C197,D197,E197,AL197,H197,I197,AM197)</f>
        <v>13</v>
      </c>
      <c r="AU197" s="29">
        <f>sum(P197:T197)</f>
        <v>7</v>
      </c>
      <c r="AV197" s="29">
        <f>sum(U197:X197)</f>
        <v>6</v>
      </c>
      <c r="AX197" s="4"/>
      <c r="AY197" s="4"/>
      <c r="AZ197" s="4"/>
      <c r="BA197" s="4"/>
      <c r="BB197" s="4"/>
      <c r="BC197" s="4"/>
    </row>
    <row r="198">
      <c r="A198" s="24"/>
      <c r="B198" s="24"/>
      <c r="C198" s="31">
        <v>85.5</v>
      </c>
      <c r="D198" s="31">
        <v>85.5</v>
      </c>
      <c r="E198" s="31">
        <v>85.5</v>
      </c>
      <c r="F198" s="31">
        <v>27.0</v>
      </c>
      <c r="G198" s="31">
        <v>64.5</v>
      </c>
      <c r="H198" s="31">
        <v>73.5</v>
      </c>
      <c r="I198" s="31">
        <v>84.0</v>
      </c>
      <c r="J198" s="31">
        <v>45.0</v>
      </c>
      <c r="K198" s="31">
        <v>829.5</v>
      </c>
      <c r="L198" s="31">
        <v>73.5</v>
      </c>
      <c r="M198" s="31">
        <v>82.5</v>
      </c>
      <c r="N198" s="31">
        <v>79.5</v>
      </c>
      <c r="O198" s="31">
        <v>82.5</v>
      </c>
      <c r="P198" s="31">
        <v>84.0</v>
      </c>
      <c r="Q198" s="31">
        <v>87.0</v>
      </c>
      <c r="R198" s="31">
        <v>85.5</v>
      </c>
      <c r="S198" s="31">
        <v>73.5</v>
      </c>
      <c r="T198" s="31">
        <v>84.0</v>
      </c>
      <c r="U198" s="31">
        <v>66.0</v>
      </c>
      <c r="V198" s="31">
        <v>76.5</v>
      </c>
      <c r="W198" s="31">
        <v>85.5</v>
      </c>
      <c r="X198" s="31">
        <v>88.5</v>
      </c>
      <c r="Y198" s="24"/>
      <c r="Z198" s="24"/>
      <c r="AA198" s="24"/>
      <c r="AB198" s="31">
        <v>78.0</v>
      </c>
      <c r="AC198" s="31">
        <v>85.5</v>
      </c>
      <c r="AD198" s="31">
        <v>85.5</v>
      </c>
      <c r="AE198" s="31">
        <v>87.0</v>
      </c>
      <c r="AF198" s="31">
        <v>88.5</v>
      </c>
      <c r="AG198" s="31">
        <v>81.0</v>
      </c>
      <c r="AH198" s="31">
        <v>85.5</v>
      </c>
      <c r="AI198" s="24"/>
      <c r="AJ198" s="24"/>
      <c r="AL198" s="6"/>
      <c r="AM198" s="6"/>
      <c r="AO198" s="6">
        <f t="shared" si="25"/>
        <v>140.1577335</v>
      </c>
      <c r="AQ198" s="6"/>
      <c r="AR198" s="6"/>
      <c r="AS198" s="6"/>
      <c r="AT198" s="6"/>
      <c r="AU198" s="6"/>
      <c r="AV198" s="6"/>
      <c r="AX198" s="4"/>
      <c r="AY198" s="4"/>
      <c r="AZ198" s="4"/>
      <c r="BA198" s="4"/>
      <c r="BB198" s="4"/>
      <c r="BC198" s="4"/>
    </row>
    <row r="199">
      <c r="A199" s="24"/>
      <c r="B199" s="35" t="s">
        <v>26</v>
      </c>
      <c r="C199" s="24">
        <v>2.0</v>
      </c>
      <c r="D199" s="24">
        <v>2.0</v>
      </c>
      <c r="E199" s="24">
        <v>1.0</v>
      </c>
      <c r="F199" s="24">
        <v>7.0</v>
      </c>
      <c r="G199" s="24">
        <v>7.0</v>
      </c>
      <c r="H199" s="24">
        <v>1.0</v>
      </c>
      <c r="I199" s="24">
        <v>5.0</v>
      </c>
      <c r="J199" s="24">
        <v>6.0</v>
      </c>
      <c r="K199" s="24">
        <v>2.0</v>
      </c>
      <c r="L199" s="24">
        <v>1.0</v>
      </c>
      <c r="M199" s="24">
        <v>1.0</v>
      </c>
      <c r="N199" s="24">
        <v>2.0</v>
      </c>
      <c r="O199" s="24">
        <v>7.0</v>
      </c>
      <c r="P199" s="24">
        <v>1.0</v>
      </c>
      <c r="Q199" s="24">
        <v>1.0</v>
      </c>
      <c r="R199" s="24">
        <v>1.0</v>
      </c>
      <c r="S199" s="24">
        <v>1.0</v>
      </c>
      <c r="T199" s="24">
        <v>6.0</v>
      </c>
      <c r="U199" s="24">
        <v>2.0</v>
      </c>
      <c r="V199" s="24">
        <v>6.0</v>
      </c>
      <c r="W199" s="24">
        <v>6.0</v>
      </c>
      <c r="X199" s="24">
        <v>6.0</v>
      </c>
      <c r="Y199" s="24"/>
      <c r="Z199" s="24"/>
      <c r="AA199" s="24"/>
      <c r="AB199" s="24">
        <v>1.0</v>
      </c>
      <c r="AC199" s="24">
        <v>1.0</v>
      </c>
      <c r="AD199" s="24">
        <v>1.0</v>
      </c>
      <c r="AE199" s="24">
        <v>6.0</v>
      </c>
      <c r="AF199" s="24">
        <v>1.0</v>
      </c>
      <c r="AG199" s="24">
        <v>1.0</v>
      </c>
      <c r="AH199" s="24">
        <v>1.0</v>
      </c>
      <c r="AI199" s="24"/>
      <c r="AJ199" s="24"/>
      <c r="AL199" s="29">
        <f>7-G199</f>
        <v>0</v>
      </c>
      <c r="AM199" s="29">
        <f>7-J199</f>
        <v>1</v>
      </c>
      <c r="AO199" s="6">
        <f t="shared" si="25"/>
        <v>2.441936565</v>
      </c>
      <c r="AQ199" s="29">
        <f t="shared" ref="AQ199:AS199" si="49">E199</f>
        <v>1</v>
      </c>
      <c r="AR199" s="29">
        <f t="shared" si="49"/>
        <v>7</v>
      </c>
      <c r="AS199" s="29">
        <f t="shared" si="49"/>
        <v>7</v>
      </c>
      <c r="AT199" s="29">
        <f>sum(C199,D199,E199,AL199,H199,I199,AM199)</f>
        <v>12</v>
      </c>
      <c r="AU199" s="29">
        <f>sum(P199:T199)</f>
        <v>10</v>
      </c>
      <c r="AV199" s="29">
        <f>sum(U199:X199)</f>
        <v>20</v>
      </c>
      <c r="AX199" s="4"/>
      <c r="AY199" s="4"/>
      <c r="AZ199" s="4"/>
      <c r="BA199" s="4"/>
      <c r="BB199" s="4"/>
      <c r="BC199" s="4"/>
    </row>
    <row r="200">
      <c r="A200" s="24"/>
      <c r="B200" s="24"/>
      <c r="C200" s="31">
        <v>78.0</v>
      </c>
      <c r="D200" s="31">
        <v>81.0</v>
      </c>
      <c r="E200" s="31">
        <v>90.0</v>
      </c>
      <c r="F200" s="31">
        <v>84.0</v>
      </c>
      <c r="G200" s="31">
        <v>90.0</v>
      </c>
      <c r="H200" s="31">
        <v>90.0</v>
      </c>
      <c r="I200" s="31">
        <v>67.5</v>
      </c>
      <c r="J200" s="31">
        <v>78.0</v>
      </c>
      <c r="K200" s="31">
        <v>72.0</v>
      </c>
      <c r="L200" s="31">
        <v>90.0</v>
      </c>
      <c r="M200" s="31">
        <v>90.0</v>
      </c>
      <c r="N200" s="31">
        <v>70.5</v>
      </c>
      <c r="O200" s="31">
        <v>90.0</v>
      </c>
      <c r="P200" s="31">
        <v>90.0</v>
      </c>
      <c r="Q200" s="31">
        <v>90.0</v>
      </c>
      <c r="R200" s="31">
        <v>90.0</v>
      </c>
      <c r="S200" s="31">
        <v>90.0</v>
      </c>
      <c r="T200" s="31">
        <v>79.5</v>
      </c>
      <c r="U200" s="31">
        <v>85.5</v>
      </c>
      <c r="V200" s="31">
        <v>73.5</v>
      </c>
      <c r="W200" s="31">
        <v>87.0</v>
      </c>
      <c r="X200" s="31">
        <v>76.5</v>
      </c>
      <c r="Y200" s="24"/>
      <c r="Z200" s="24"/>
      <c r="AA200" s="24"/>
      <c r="AB200" s="31">
        <v>90.0</v>
      </c>
      <c r="AC200" s="31">
        <v>85.5</v>
      </c>
      <c r="AD200" s="31">
        <v>85.5</v>
      </c>
      <c r="AE200" s="31">
        <v>85.5</v>
      </c>
      <c r="AF200" s="31">
        <v>90.0</v>
      </c>
      <c r="AG200" s="31">
        <v>90.0</v>
      </c>
      <c r="AH200" s="31">
        <v>90.0</v>
      </c>
      <c r="AI200" s="24"/>
      <c r="AJ200" s="24"/>
      <c r="AL200" s="6"/>
      <c r="AM200" s="6"/>
      <c r="AO200" s="6">
        <f t="shared" si="25"/>
        <v>7.025376241</v>
      </c>
      <c r="AQ200" s="6"/>
      <c r="AR200" s="6"/>
      <c r="AS200" s="6"/>
      <c r="AT200" s="6"/>
      <c r="AU200" s="6"/>
      <c r="AV200" s="6"/>
      <c r="AX200" s="4"/>
      <c r="AY200" s="4"/>
      <c r="AZ200" s="4"/>
      <c r="BA200" s="4"/>
      <c r="BB200" s="4"/>
      <c r="BC200" s="4"/>
    </row>
    <row r="201">
      <c r="A201" s="24"/>
      <c r="B201" s="35" t="s">
        <v>27</v>
      </c>
      <c r="C201" s="24">
        <v>7.0</v>
      </c>
      <c r="D201" s="24">
        <v>7.0</v>
      </c>
      <c r="E201" s="24">
        <v>7.0</v>
      </c>
      <c r="F201" s="24">
        <v>7.0</v>
      </c>
      <c r="G201" s="24">
        <v>2.0</v>
      </c>
      <c r="H201" s="24">
        <v>6.0</v>
      </c>
      <c r="I201" s="24">
        <v>6.0</v>
      </c>
      <c r="J201" s="24">
        <v>1.0</v>
      </c>
      <c r="K201" s="24">
        <v>1.0</v>
      </c>
      <c r="L201" s="24">
        <v>6.0</v>
      </c>
      <c r="M201" s="24">
        <v>3.0</v>
      </c>
      <c r="N201" s="24">
        <v>2.0</v>
      </c>
      <c r="O201" s="24">
        <v>6.0</v>
      </c>
      <c r="P201" s="24">
        <v>1.0</v>
      </c>
      <c r="Q201" s="24">
        <v>1.0</v>
      </c>
      <c r="R201" s="24">
        <v>1.0</v>
      </c>
      <c r="S201" s="24">
        <v>6.0</v>
      </c>
      <c r="T201" s="24">
        <v>5.0</v>
      </c>
      <c r="U201" s="24">
        <v>2.0</v>
      </c>
      <c r="V201" s="24">
        <v>7.0</v>
      </c>
      <c r="W201" s="24">
        <v>7.0</v>
      </c>
      <c r="X201" s="24">
        <v>2.0</v>
      </c>
      <c r="Y201" s="24"/>
      <c r="Z201" s="24"/>
      <c r="AA201" s="24"/>
      <c r="AB201" s="24">
        <v>1.0</v>
      </c>
      <c r="AC201" s="24">
        <v>1.0</v>
      </c>
      <c r="AD201" s="24">
        <v>1.0</v>
      </c>
      <c r="AE201" s="24">
        <v>1.0</v>
      </c>
      <c r="AF201" s="24">
        <v>1.0</v>
      </c>
      <c r="AG201" s="24">
        <v>1.0</v>
      </c>
      <c r="AH201" s="24">
        <v>1.0</v>
      </c>
      <c r="AI201" s="24"/>
      <c r="AJ201" s="24"/>
      <c r="AL201" s="29">
        <f>7-G201</f>
        <v>5</v>
      </c>
      <c r="AM201" s="29">
        <f>7-J201</f>
        <v>6</v>
      </c>
      <c r="AO201" s="6">
        <f t="shared" si="25"/>
        <v>2.612965022</v>
      </c>
      <c r="AQ201" s="29">
        <f t="shared" ref="AQ201:AS201" si="50">E201</f>
        <v>7</v>
      </c>
      <c r="AR201" s="29">
        <f t="shared" si="50"/>
        <v>7</v>
      </c>
      <c r="AS201" s="29">
        <f t="shared" si="50"/>
        <v>2</v>
      </c>
      <c r="AT201" s="29">
        <f>sum(C201,D201,E201,AL201,H201,I201,AM201)</f>
        <v>44</v>
      </c>
      <c r="AU201" s="29">
        <f>sum(P201:T201)</f>
        <v>14</v>
      </c>
      <c r="AV201" s="29">
        <f>sum(U201:X201)</f>
        <v>18</v>
      </c>
      <c r="AX201" s="4"/>
      <c r="AY201" s="4"/>
      <c r="AZ201" s="4"/>
      <c r="BA201" s="4"/>
      <c r="BB201" s="4"/>
      <c r="BC201" s="4"/>
    </row>
    <row r="202">
      <c r="A202" s="24"/>
      <c r="B202" s="24"/>
      <c r="C202" s="31">
        <v>31.5</v>
      </c>
      <c r="D202" s="31">
        <v>85.5</v>
      </c>
      <c r="E202" s="31">
        <v>67.5</v>
      </c>
      <c r="F202" s="31">
        <v>76.5</v>
      </c>
      <c r="G202" s="31">
        <v>75.0</v>
      </c>
      <c r="H202" s="31">
        <v>58.5</v>
      </c>
      <c r="I202" s="31">
        <v>73.5</v>
      </c>
      <c r="J202" s="31">
        <v>87.0</v>
      </c>
      <c r="K202" s="31">
        <v>79.5</v>
      </c>
      <c r="L202" s="31">
        <v>70.5</v>
      </c>
      <c r="M202" s="31">
        <v>4.5</v>
      </c>
      <c r="N202" s="31">
        <v>75.0</v>
      </c>
      <c r="O202" s="31">
        <v>64.5</v>
      </c>
      <c r="P202" s="31">
        <v>82.5</v>
      </c>
      <c r="Q202" s="31">
        <v>85.5</v>
      </c>
      <c r="R202" s="31">
        <v>82.5</v>
      </c>
      <c r="S202" s="31">
        <v>55.5</v>
      </c>
      <c r="T202" s="31">
        <v>15.0</v>
      </c>
      <c r="U202" s="31">
        <v>36.0</v>
      </c>
      <c r="V202" s="31">
        <v>87.0</v>
      </c>
      <c r="W202" s="31">
        <v>76.5</v>
      </c>
      <c r="X202" s="31">
        <v>54.0</v>
      </c>
      <c r="Y202" s="24"/>
      <c r="Z202" s="24"/>
      <c r="AA202" s="24"/>
      <c r="AB202" s="31">
        <v>76.5</v>
      </c>
      <c r="AC202" s="31">
        <v>84.0</v>
      </c>
      <c r="AD202" s="31">
        <v>88.5</v>
      </c>
      <c r="AE202" s="31">
        <v>88.5</v>
      </c>
      <c r="AF202" s="31">
        <v>87.0</v>
      </c>
      <c r="AG202" s="31">
        <v>88.5</v>
      </c>
      <c r="AH202" s="31">
        <v>88.5</v>
      </c>
      <c r="AI202" s="24"/>
      <c r="AJ202" s="24"/>
      <c r="AL202" s="6"/>
      <c r="AM202" s="6"/>
      <c r="AO202" s="6">
        <f t="shared" si="25"/>
        <v>22.43414006</v>
      </c>
      <c r="AQ202" s="6"/>
      <c r="AR202" s="6"/>
      <c r="AS202" s="6"/>
      <c r="AT202" s="6"/>
      <c r="AU202" s="6"/>
      <c r="AV202" s="6"/>
      <c r="AX202" s="4"/>
      <c r="AY202" s="4"/>
      <c r="AZ202" s="4"/>
      <c r="BA202" s="4"/>
      <c r="BB202" s="4"/>
      <c r="BC202" s="4"/>
    </row>
    <row r="203">
      <c r="A203" s="24"/>
      <c r="B203" s="35" t="s">
        <v>28</v>
      </c>
      <c r="C203" s="24">
        <v>7.0</v>
      </c>
      <c r="D203" s="24">
        <v>7.0</v>
      </c>
      <c r="E203" s="24">
        <v>5.0</v>
      </c>
      <c r="F203" s="24">
        <v>1.0</v>
      </c>
      <c r="G203" s="24">
        <v>1.0</v>
      </c>
      <c r="H203" s="24">
        <v>1.0</v>
      </c>
      <c r="I203" s="24">
        <v>7.0</v>
      </c>
      <c r="J203" s="24">
        <v>2.0</v>
      </c>
      <c r="K203" s="24">
        <v>1.0</v>
      </c>
      <c r="L203" s="24">
        <v>2.0</v>
      </c>
      <c r="M203" s="24">
        <v>2.0</v>
      </c>
      <c r="N203" s="24">
        <v>2.0</v>
      </c>
      <c r="O203" s="24">
        <v>6.0</v>
      </c>
      <c r="P203" s="24">
        <v>5.0</v>
      </c>
      <c r="Q203" s="24">
        <v>5.0</v>
      </c>
      <c r="R203" s="24">
        <v>5.0</v>
      </c>
      <c r="S203" s="24">
        <v>5.0</v>
      </c>
      <c r="T203" s="24">
        <v>5.0</v>
      </c>
      <c r="U203" s="24">
        <v>1.0</v>
      </c>
      <c r="V203" s="24">
        <v>5.0</v>
      </c>
      <c r="W203" s="24">
        <v>1.0</v>
      </c>
      <c r="X203" s="24">
        <v>1.0</v>
      </c>
      <c r="Y203" s="24"/>
      <c r="Z203" s="24"/>
      <c r="AA203" s="24"/>
      <c r="AB203" s="24">
        <v>1.0</v>
      </c>
      <c r="AC203" s="24">
        <v>1.0</v>
      </c>
      <c r="AD203" s="24">
        <v>4.0</v>
      </c>
      <c r="AE203" s="24">
        <v>2.0</v>
      </c>
      <c r="AF203" s="24">
        <v>2.0</v>
      </c>
      <c r="AG203" s="24">
        <v>3.0</v>
      </c>
      <c r="AH203" s="24">
        <v>2.0</v>
      </c>
      <c r="AI203" s="24"/>
      <c r="AJ203" s="24"/>
      <c r="AL203" s="29">
        <f>7-G203</f>
        <v>6</v>
      </c>
      <c r="AM203" s="29">
        <f>7-J203</f>
        <v>5</v>
      </c>
      <c r="AO203" s="6">
        <f t="shared" si="25"/>
        <v>2.139241613</v>
      </c>
      <c r="AQ203" s="29">
        <f t="shared" ref="AQ203:AS203" si="51">E203</f>
        <v>5</v>
      </c>
      <c r="AR203" s="29">
        <f t="shared" si="51"/>
        <v>1</v>
      </c>
      <c r="AS203" s="29">
        <f t="shared" si="51"/>
        <v>1</v>
      </c>
      <c r="AT203" s="29">
        <f>sum(C203,D203,E203,AL203,H203,I203,AM203)</f>
        <v>38</v>
      </c>
      <c r="AU203" s="29">
        <f>sum(P203:T203)</f>
        <v>25</v>
      </c>
      <c r="AV203" s="29">
        <f>sum(U203:X203)</f>
        <v>8</v>
      </c>
      <c r="AX203" s="4"/>
      <c r="AY203" s="4"/>
      <c r="AZ203" s="4"/>
      <c r="BA203" s="4"/>
      <c r="BB203" s="4"/>
      <c r="BC203" s="4"/>
    </row>
    <row r="204">
      <c r="A204" s="24"/>
      <c r="B204" s="24"/>
      <c r="C204" s="31">
        <v>90.0</v>
      </c>
      <c r="D204" s="31">
        <v>90.0</v>
      </c>
      <c r="E204" s="31">
        <v>0.0</v>
      </c>
      <c r="F204" s="31">
        <v>49.5</v>
      </c>
      <c r="G204" s="31">
        <v>88.5</v>
      </c>
      <c r="H204" s="31">
        <v>87.0</v>
      </c>
      <c r="I204" s="31">
        <v>49.5</v>
      </c>
      <c r="J204" s="31">
        <v>49.5</v>
      </c>
      <c r="K204" s="31">
        <v>85.5</v>
      </c>
      <c r="L204" s="31">
        <v>45.0</v>
      </c>
      <c r="M204" s="31">
        <v>85.5</v>
      </c>
      <c r="N204" s="31">
        <v>84.0</v>
      </c>
      <c r="O204" s="31">
        <v>87.0</v>
      </c>
      <c r="P204" s="31">
        <v>48.0</v>
      </c>
      <c r="Q204" s="31">
        <v>42.0</v>
      </c>
      <c r="R204" s="31">
        <v>43.5</v>
      </c>
      <c r="S204" s="31">
        <v>43.5</v>
      </c>
      <c r="T204" s="31">
        <v>45.0</v>
      </c>
      <c r="U204" s="31">
        <v>87.0</v>
      </c>
      <c r="V204" s="31">
        <v>45.0</v>
      </c>
      <c r="W204" s="31">
        <v>85.5</v>
      </c>
      <c r="X204" s="31">
        <v>84.0</v>
      </c>
      <c r="Y204" s="24"/>
      <c r="Z204" s="24"/>
      <c r="AA204" s="24"/>
      <c r="AB204" s="31">
        <v>85.5</v>
      </c>
      <c r="AC204" s="31">
        <v>85.5</v>
      </c>
      <c r="AD204" s="31">
        <v>45.0</v>
      </c>
      <c r="AE204" s="31">
        <v>85.5</v>
      </c>
      <c r="AF204" s="31">
        <v>45.0</v>
      </c>
      <c r="AG204" s="31">
        <v>87.0</v>
      </c>
      <c r="AH204" s="31">
        <v>84.0</v>
      </c>
      <c r="AI204" s="24"/>
      <c r="AJ204" s="24"/>
      <c r="AL204" s="6"/>
      <c r="AM204" s="6"/>
      <c r="AO204" s="6">
        <f t="shared" si="25"/>
        <v>23.87080373</v>
      </c>
      <c r="AQ204" s="6"/>
      <c r="AR204" s="6"/>
      <c r="AS204" s="6"/>
      <c r="AT204" s="6"/>
      <c r="AU204" s="6"/>
      <c r="AV204" s="6"/>
      <c r="AX204" s="4"/>
      <c r="AY204" s="4"/>
      <c r="AZ204" s="4"/>
      <c r="BA204" s="4"/>
      <c r="BB204" s="4"/>
      <c r="BC204" s="4"/>
    </row>
    <row r="205">
      <c r="A205" s="24"/>
      <c r="B205" s="35" t="s">
        <v>29</v>
      </c>
      <c r="C205" s="24">
        <v>7.0</v>
      </c>
      <c r="D205" s="24">
        <v>6.0</v>
      </c>
      <c r="E205" s="24">
        <v>5.0</v>
      </c>
      <c r="F205" s="24">
        <v>6.0</v>
      </c>
      <c r="G205" s="24">
        <v>1.0</v>
      </c>
      <c r="H205" s="24">
        <v>6.0</v>
      </c>
      <c r="I205" s="24">
        <v>7.0</v>
      </c>
      <c r="J205" s="24">
        <v>1.0</v>
      </c>
      <c r="K205" s="24">
        <v>5.0</v>
      </c>
      <c r="L205" s="24">
        <v>7.0</v>
      </c>
      <c r="M205" s="24">
        <v>6.0</v>
      </c>
      <c r="N205" s="24">
        <v>2.0</v>
      </c>
      <c r="O205" s="24">
        <v>6.0</v>
      </c>
      <c r="P205" s="24">
        <v>4.0</v>
      </c>
      <c r="Q205" s="24">
        <v>5.0</v>
      </c>
      <c r="R205" s="24">
        <v>3.0</v>
      </c>
      <c r="S205" s="24">
        <v>2.0</v>
      </c>
      <c r="T205" s="24">
        <v>6.0</v>
      </c>
      <c r="U205" s="24">
        <v>3.0</v>
      </c>
      <c r="V205" s="24">
        <v>7.0</v>
      </c>
      <c r="W205" s="24">
        <v>5.0</v>
      </c>
      <c r="X205" s="24">
        <v>6.0</v>
      </c>
      <c r="Y205" s="24"/>
      <c r="Z205" s="24"/>
      <c r="AA205" s="24"/>
      <c r="AB205" s="24">
        <v>1.0</v>
      </c>
      <c r="AC205" s="24">
        <v>1.0</v>
      </c>
      <c r="AD205" s="24">
        <v>2.0</v>
      </c>
      <c r="AE205" s="24">
        <v>2.0</v>
      </c>
      <c r="AF205" s="24">
        <v>2.0</v>
      </c>
      <c r="AG205" s="24">
        <v>3.0</v>
      </c>
      <c r="AH205" s="24">
        <v>5.0</v>
      </c>
      <c r="AI205" s="24"/>
      <c r="AJ205" s="24"/>
      <c r="AL205" s="29">
        <f>7-G205</f>
        <v>6</v>
      </c>
      <c r="AM205" s="29">
        <f>7-J205</f>
        <v>6</v>
      </c>
      <c r="AO205" s="6">
        <f t="shared" si="25"/>
        <v>2.127696782</v>
      </c>
      <c r="AQ205" s="29">
        <f t="shared" ref="AQ205:AS205" si="52">E205</f>
        <v>5</v>
      </c>
      <c r="AR205" s="29">
        <f t="shared" si="52"/>
        <v>6</v>
      </c>
      <c r="AS205" s="29">
        <f t="shared" si="52"/>
        <v>1</v>
      </c>
      <c r="AT205" s="29">
        <f>sum(C205,D205,E205,AL205,H205,I205,AM205)</f>
        <v>43</v>
      </c>
      <c r="AU205" s="29">
        <f>sum(P205:T205)</f>
        <v>20</v>
      </c>
      <c r="AV205" s="29">
        <f>sum(U205:X205)</f>
        <v>21</v>
      </c>
      <c r="AX205" s="4"/>
      <c r="AY205" s="4"/>
      <c r="AZ205" s="4"/>
      <c r="BA205" s="4"/>
      <c r="BB205" s="4"/>
      <c r="BC205" s="4"/>
    </row>
    <row r="206">
      <c r="A206" s="24"/>
      <c r="B206" s="24"/>
      <c r="C206" s="31">
        <v>90.0</v>
      </c>
      <c r="D206" s="31">
        <v>60.0</v>
      </c>
      <c r="E206" s="31">
        <v>78.0</v>
      </c>
      <c r="F206" s="31">
        <v>55.5</v>
      </c>
      <c r="G206" s="31">
        <v>90.0</v>
      </c>
      <c r="H206" s="31">
        <v>60.0</v>
      </c>
      <c r="I206" s="31">
        <v>76.5</v>
      </c>
      <c r="J206" s="31">
        <v>90.0</v>
      </c>
      <c r="K206" s="31">
        <v>72.0</v>
      </c>
      <c r="L206" s="31">
        <v>90.0</v>
      </c>
      <c r="M206" s="31">
        <v>67.5</v>
      </c>
      <c r="N206" s="31">
        <v>70.5</v>
      </c>
      <c r="O206" s="31">
        <v>78.0</v>
      </c>
      <c r="P206" s="31">
        <v>90.0</v>
      </c>
      <c r="Q206" s="31">
        <v>90.0</v>
      </c>
      <c r="R206" s="31">
        <v>79.5</v>
      </c>
      <c r="S206" s="31">
        <v>84.0</v>
      </c>
      <c r="T206" s="31">
        <v>90.0</v>
      </c>
      <c r="U206" s="31">
        <v>46.5</v>
      </c>
      <c r="V206" s="31">
        <v>90.0</v>
      </c>
      <c r="W206" s="31">
        <v>82.5</v>
      </c>
      <c r="X206" s="31">
        <v>85.5</v>
      </c>
      <c r="Y206" s="24"/>
      <c r="Z206" s="24"/>
      <c r="AA206" s="24"/>
      <c r="AB206" s="31">
        <v>90.0</v>
      </c>
      <c r="AC206" s="31">
        <v>90.0</v>
      </c>
      <c r="AD206" s="31">
        <v>90.0</v>
      </c>
      <c r="AE206" s="31">
        <v>90.0</v>
      </c>
      <c r="AF206" s="31">
        <v>82.5</v>
      </c>
      <c r="AG206" s="31">
        <v>64.5</v>
      </c>
      <c r="AH206" s="31">
        <v>55.5</v>
      </c>
      <c r="AI206" s="24"/>
      <c r="AJ206" s="24"/>
      <c r="AL206" s="6"/>
      <c r="AM206" s="6"/>
      <c r="AO206" s="6">
        <f t="shared" si="25"/>
        <v>13.21979315</v>
      </c>
      <c r="AQ206" s="6"/>
      <c r="AR206" s="6"/>
      <c r="AS206" s="6"/>
      <c r="AT206" s="6"/>
      <c r="AU206" s="6"/>
      <c r="AV206" s="6"/>
      <c r="AX206" s="4"/>
      <c r="AY206" s="4"/>
      <c r="AZ206" s="4"/>
      <c r="BA206" s="4"/>
      <c r="BB206" s="4"/>
      <c r="BC206" s="4"/>
    </row>
    <row r="207">
      <c r="A207" s="24"/>
      <c r="B207" s="35" t="s">
        <v>30</v>
      </c>
      <c r="C207" s="24">
        <v>1.0</v>
      </c>
      <c r="D207" s="24">
        <v>1.0</v>
      </c>
      <c r="E207" s="24">
        <v>1.0</v>
      </c>
      <c r="F207" s="24">
        <v>4.0</v>
      </c>
      <c r="G207" s="24">
        <v>7.0</v>
      </c>
      <c r="H207" s="24">
        <v>1.0</v>
      </c>
      <c r="I207" s="24">
        <v>1.0</v>
      </c>
      <c r="J207" s="24">
        <v>4.0</v>
      </c>
      <c r="K207" s="24">
        <v>4.0</v>
      </c>
      <c r="L207" s="24">
        <v>1.0</v>
      </c>
      <c r="M207" s="24">
        <v>7.0</v>
      </c>
      <c r="N207" s="24">
        <v>7.0</v>
      </c>
      <c r="O207" s="24">
        <v>4.0</v>
      </c>
      <c r="P207" s="24">
        <v>1.0</v>
      </c>
      <c r="Q207" s="24">
        <v>1.0</v>
      </c>
      <c r="R207" s="24">
        <v>1.0</v>
      </c>
      <c r="S207" s="24">
        <v>1.0</v>
      </c>
      <c r="T207" s="24">
        <v>1.0</v>
      </c>
      <c r="U207" s="24">
        <v>7.0</v>
      </c>
      <c r="V207" s="24">
        <v>1.0</v>
      </c>
      <c r="W207" s="24">
        <v>7.0</v>
      </c>
      <c r="X207" s="24">
        <v>4.0</v>
      </c>
      <c r="Y207" s="24"/>
      <c r="Z207" s="24"/>
      <c r="AA207" s="24"/>
      <c r="AB207" s="24">
        <v>1.0</v>
      </c>
      <c r="AC207" s="24">
        <v>1.0</v>
      </c>
      <c r="AD207" s="24">
        <v>1.0</v>
      </c>
      <c r="AE207" s="24">
        <v>1.0</v>
      </c>
      <c r="AF207" s="24">
        <v>1.0</v>
      </c>
      <c r="AG207" s="24">
        <v>4.0</v>
      </c>
      <c r="AH207" s="24">
        <v>1.0</v>
      </c>
      <c r="AI207" s="24"/>
      <c r="AJ207" s="24"/>
      <c r="AL207" s="29">
        <f>7-G207</f>
        <v>0</v>
      </c>
      <c r="AM207" s="29">
        <f>7-J207</f>
        <v>3</v>
      </c>
      <c r="AO207" s="6">
        <f t="shared" si="25"/>
        <v>2.349405123</v>
      </c>
      <c r="AQ207" s="29">
        <f t="shared" ref="AQ207:AS207" si="53">E207</f>
        <v>1</v>
      </c>
      <c r="AR207" s="29">
        <f t="shared" si="53"/>
        <v>4</v>
      </c>
      <c r="AS207" s="29">
        <f t="shared" si="53"/>
        <v>7</v>
      </c>
      <c r="AT207" s="29">
        <f>sum(C207,D207,E207,AL207,H207,I207,AM207)</f>
        <v>8</v>
      </c>
      <c r="AU207" s="29">
        <f>sum(P207:T207)</f>
        <v>5</v>
      </c>
      <c r="AV207" s="29">
        <f>sum(U207:X207)</f>
        <v>19</v>
      </c>
      <c r="AX207" s="4"/>
      <c r="AY207" s="4"/>
      <c r="AZ207" s="4"/>
      <c r="BA207" s="4"/>
      <c r="BB207" s="4"/>
      <c r="BC207" s="4"/>
    </row>
    <row r="208">
      <c r="A208" s="24"/>
      <c r="B208" s="24"/>
      <c r="C208" s="31">
        <v>90.0</v>
      </c>
      <c r="D208" s="31">
        <v>90.0</v>
      </c>
      <c r="E208" s="31">
        <v>90.0</v>
      </c>
      <c r="F208" s="31">
        <v>90.0</v>
      </c>
      <c r="G208" s="31">
        <v>90.0</v>
      </c>
      <c r="H208" s="31">
        <v>90.0</v>
      </c>
      <c r="I208" s="31">
        <v>90.0</v>
      </c>
      <c r="J208" s="31">
        <v>90.0</v>
      </c>
      <c r="K208" s="31">
        <v>90.0</v>
      </c>
      <c r="L208" s="31">
        <v>90.0</v>
      </c>
      <c r="M208" s="31">
        <v>90.0</v>
      </c>
      <c r="N208" s="31">
        <v>90.0</v>
      </c>
      <c r="O208" s="31">
        <v>90.0</v>
      </c>
      <c r="P208" s="31">
        <v>90.0</v>
      </c>
      <c r="Q208" s="31">
        <v>90.0</v>
      </c>
      <c r="R208" s="31">
        <v>90.0</v>
      </c>
      <c r="S208" s="31">
        <v>90.0</v>
      </c>
      <c r="T208" s="31">
        <v>90.0</v>
      </c>
      <c r="U208" s="31">
        <v>90.0</v>
      </c>
      <c r="V208" s="31">
        <v>90.0</v>
      </c>
      <c r="W208" s="31">
        <v>90.0</v>
      </c>
      <c r="X208" s="31">
        <v>90.0</v>
      </c>
      <c r="Y208" s="24"/>
      <c r="Z208" s="24"/>
      <c r="AA208" s="24"/>
      <c r="AB208" s="31">
        <v>90.0</v>
      </c>
      <c r="AC208" s="31">
        <v>90.0</v>
      </c>
      <c r="AD208" s="31">
        <v>90.0</v>
      </c>
      <c r="AE208" s="31">
        <v>90.0</v>
      </c>
      <c r="AF208" s="31">
        <v>90.0</v>
      </c>
      <c r="AG208" s="31">
        <v>90.0</v>
      </c>
      <c r="AH208" s="31">
        <v>90.0</v>
      </c>
      <c r="AI208" s="24"/>
      <c r="AJ208" s="24"/>
      <c r="AL208" s="6"/>
      <c r="AM208" s="6"/>
      <c r="AO208" s="6">
        <f t="shared" si="25"/>
        <v>0</v>
      </c>
      <c r="AQ208" s="6"/>
      <c r="AR208" s="6"/>
      <c r="AS208" s="6"/>
      <c r="AT208" s="6"/>
      <c r="AU208" s="6"/>
      <c r="AV208" s="6"/>
      <c r="AX208" s="4"/>
      <c r="AY208" s="4"/>
      <c r="AZ208" s="4"/>
      <c r="BA208" s="4"/>
      <c r="BB208" s="4"/>
      <c r="BC208" s="4"/>
    </row>
    <row r="209">
      <c r="A209" s="24"/>
      <c r="B209" s="35" t="s">
        <v>31</v>
      </c>
      <c r="C209" s="24">
        <v>3.0</v>
      </c>
      <c r="D209" s="24">
        <v>5.0</v>
      </c>
      <c r="E209" s="24">
        <v>4.0</v>
      </c>
      <c r="F209" s="24">
        <v>1.0</v>
      </c>
      <c r="G209" s="24">
        <v>6.0</v>
      </c>
      <c r="H209" s="24">
        <v>1.0</v>
      </c>
      <c r="I209" s="24">
        <v>2.0</v>
      </c>
      <c r="J209" s="24">
        <v>6.0</v>
      </c>
      <c r="K209" s="24">
        <v>1.0</v>
      </c>
      <c r="L209" s="24">
        <v>6.0</v>
      </c>
      <c r="M209" s="24">
        <v>6.0</v>
      </c>
      <c r="N209" s="24">
        <v>6.0</v>
      </c>
      <c r="O209" s="24">
        <v>7.0</v>
      </c>
      <c r="P209" s="24">
        <v>1.0</v>
      </c>
      <c r="Q209" s="24">
        <v>1.0</v>
      </c>
      <c r="R209" s="24">
        <v>1.0</v>
      </c>
      <c r="S209" s="24">
        <v>1.0</v>
      </c>
      <c r="T209" s="24">
        <v>1.0</v>
      </c>
      <c r="U209" s="24">
        <v>2.0</v>
      </c>
      <c r="V209" s="24">
        <v>7.0</v>
      </c>
      <c r="W209" s="24">
        <v>2.0</v>
      </c>
      <c r="X209" s="24">
        <v>2.0</v>
      </c>
      <c r="Y209" s="24"/>
      <c r="Z209" s="24"/>
      <c r="AA209" s="24"/>
      <c r="AB209" s="24">
        <v>1.0</v>
      </c>
      <c r="AC209" s="24">
        <v>1.0</v>
      </c>
      <c r="AD209" s="24">
        <v>1.0</v>
      </c>
      <c r="AE209" s="24">
        <v>1.0</v>
      </c>
      <c r="AF209" s="24">
        <v>1.0</v>
      </c>
      <c r="AG209" s="24">
        <v>1.0</v>
      </c>
      <c r="AH209" s="24">
        <v>1.0</v>
      </c>
      <c r="AI209" s="24"/>
      <c r="AJ209" s="24"/>
      <c r="AL209" s="29">
        <f>7-G209</f>
        <v>1</v>
      </c>
      <c r="AM209" s="29">
        <f>7-J209</f>
        <v>1</v>
      </c>
      <c r="AO209" s="6">
        <f t="shared" si="25"/>
        <v>2.266157095</v>
      </c>
      <c r="AQ209" s="29">
        <f t="shared" ref="AQ209:AS209" si="54">E209</f>
        <v>4</v>
      </c>
      <c r="AR209" s="29">
        <f t="shared" si="54"/>
        <v>1</v>
      </c>
      <c r="AS209" s="29">
        <f t="shared" si="54"/>
        <v>6</v>
      </c>
      <c r="AT209" s="29">
        <f>sum(C209,D209,E209,AL209,H209,I209,AM209)</f>
        <v>17</v>
      </c>
      <c r="AU209" s="29">
        <f>sum(P209:T209)</f>
        <v>5</v>
      </c>
      <c r="AV209" s="29">
        <f>sum(U209:X209)</f>
        <v>13</v>
      </c>
      <c r="AX209" s="4"/>
      <c r="AY209" s="4"/>
      <c r="AZ209" s="4"/>
      <c r="BA209" s="4"/>
      <c r="BB209" s="4"/>
      <c r="BC209" s="4"/>
      <c r="BE209" s="4"/>
      <c r="BF209" s="4"/>
      <c r="BG209" s="4"/>
      <c r="BH209" s="4"/>
    </row>
    <row r="210">
      <c r="A210" s="24"/>
      <c r="B210" s="24"/>
      <c r="C210" s="31">
        <v>28.5</v>
      </c>
      <c r="D210" s="31">
        <v>51.0</v>
      </c>
      <c r="E210" s="31">
        <v>87.0</v>
      </c>
      <c r="F210" s="31">
        <v>90.0</v>
      </c>
      <c r="G210" s="31">
        <v>64.5</v>
      </c>
      <c r="H210" s="31">
        <v>90.0</v>
      </c>
      <c r="I210" s="31">
        <v>78.0</v>
      </c>
      <c r="J210" s="31">
        <v>10.5</v>
      </c>
      <c r="K210" s="31">
        <v>3.0</v>
      </c>
      <c r="L210" s="31">
        <v>10.5</v>
      </c>
      <c r="M210" s="31">
        <v>7.5</v>
      </c>
      <c r="N210" s="31">
        <v>82.5</v>
      </c>
      <c r="O210" s="31">
        <v>90.0</v>
      </c>
      <c r="P210" s="31">
        <v>90.0</v>
      </c>
      <c r="Q210" s="31">
        <v>90.0</v>
      </c>
      <c r="R210" s="31">
        <v>90.0</v>
      </c>
      <c r="S210" s="31">
        <v>90.0</v>
      </c>
      <c r="T210" s="31">
        <v>90.0</v>
      </c>
      <c r="U210" s="31">
        <v>90.0</v>
      </c>
      <c r="V210" s="31">
        <v>90.0</v>
      </c>
      <c r="W210" s="31">
        <v>90.0</v>
      </c>
      <c r="X210" s="31">
        <v>90.0</v>
      </c>
      <c r="Y210" s="24"/>
      <c r="Z210" s="24"/>
      <c r="AA210" s="24"/>
      <c r="AB210" s="31">
        <v>90.0</v>
      </c>
      <c r="AC210" s="31">
        <v>90.0</v>
      </c>
      <c r="AD210" s="31">
        <v>90.0</v>
      </c>
      <c r="AE210" s="31">
        <v>90.0</v>
      </c>
      <c r="AF210" s="31">
        <v>90.0</v>
      </c>
      <c r="AG210" s="31">
        <v>90.0</v>
      </c>
      <c r="AH210" s="31">
        <v>90.0</v>
      </c>
      <c r="AI210" s="24"/>
      <c r="AJ210" s="24"/>
      <c r="AL210" s="6"/>
      <c r="AM210" s="6"/>
      <c r="AO210" s="6">
        <f t="shared" si="25"/>
        <v>30.07886801</v>
      </c>
      <c r="AQ210" s="6"/>
      <c r="AR210" s="6"/>
      <c r="AS210" s="6"/>
      <c r="AT210" s="6"/>
      <c r="AU210" s="6"/>
      <c r="AV210" s="6"/>
      <c r="AX210" s="4"/>
      <c r="AY210" s="4"/>
      <c r="AZ210" s="4"/>
      <c r="BA210" s="4"/>
      <c r="BB210" s="4"/>
      <c r="BC210" s="4"/>
      <c r="BE210" s="4"/>
    </row>
    <row r="211">
      <c r="A211" s="24"/>
      <c r="B211" s="35" t="s">
        <v>32</v>
      </c>
      <c r="C211" s="24">
        <v>7.0</v>
      </c>
      <c r="D211" s="24">
        <v>7.0</v>
      </c>
      <c r="E211" s="24">
        <v>7.0</v>
      </c>
      <c r="F211" s="24">
        <v>7.0</v>
      </c>
      <c r="G211" s="24">
        <v>5.0</v>
      </c>
      <c r="H211" s="24">
        <v>7.0</v>
      </c>
      <c r="I211" s="24">
        <v>6.0</v>
      </c>
      <c r="J211" s="24">
        <v>6.0</v>
      </c>
      <c r="K211" s="24">
        <v>7.0</v>
      </c>
      <c r="L211" s="24">
        <v>2.0</v>
      </c>
      <c r="M211" s="24">
        <v>7.0</v>
      </c>
      <c r="N211" s="24">
        <v>5.0</v>
      </c>
      <c r="O211" s="24">
        <v>2.0</v>
      </c>
      <c r="P211" s="24">
        <v>2.0</v>
      </c>
      <c r="Q211" s="24">
        <v>1.0</v>
      </c>
      <c r="R211" s="24">
        <v>6.0</v>
      </c>
      <c r="S211" s="24">
        <v>5.0</v>
      </c>
      <c r="T211" s="24">
        <v>6.0</v>
      </c>
      <c r="U211" s="24">
        <v>7.0</v>
      </c>
      <c r="V211" s="24">
        <v>5.0</v>
      </c>
      <c r="W211" s="24">
        <v>6.0</v>
      </c>
      <c r="X211" s="24">
        <v>3.0</v>
      </c>
      <c r="Y211" s="24"/>
      <c r="Z211" s="24"/>
      <c r="AA211" s="24"/>
      <c r="AB211" s="24">
        <v>1.0</v>
      </c>
      <c r="AC211" s="24">
        <v>1.0</v>
      </c>
      <c r="AD211" s="24">
        <v>1.0</v>
      </c>
      <c r="AE211" s="24">
        <v>1.0</v>
      </c>
      <c r="AF211" s="24">
        <v>7.0</v>
      </c>
      <c r="AG211" s="24">
        <v>1.0</v>
      </c>
      <c r="AH211" s="24">
        <v>6.0</v>
      </c>
      <c r="AI211" s="24"/>
      <c r="AJ211" s="24"/>
      <c r="AL211" s="29">
        <f>7-G211</f>
        <v>2</v>
      </c>
      <c r="AM211" s="29">
        <f>7-J211</f>
        <v>1</v>
      </c>
      <c r="AO211" s="6">
        <f t="shared" si="25"/>
        <v>2.426252152</v>
      </c>
      <c r="AQ211" s="29">
        <f t="shared" ref="AQ211:AS211" si="55">E211</f>
        <v>7</v>
      </c>
      <c r="AR211" s="29">
        <f t="shared" si="55"/>
        <v>7</v>
      </c>
      <c r="AS211" s="29">
        <f t="shared" si="55"/>
        <v>5</v>
      </c>
      <c r="AT211" s="29">
        <f>sum(C211,D211,E211,AL211,H211,I211,AM211)</f>
        <v>37</v>
      </c>
      <c r="AU211" s="29">
        <f>sum(P211:T211)</f>
        <v>20</v>
      </c>
      <c r="AV211" s="29">
        <f>sum(U211:X211)</f>
        <v>21</v>
      </c>
      <c r="AX211" s="4"/>
      <c r="AY211" s="4"/>
      <c r="AZ211" s="4"/>
      <c r="BA211" s="4"/>
      <c r="BB211" s="4"/>
      <c r="BC211" s="4"/>
      <c r="BE211" s="4"/>
    </row>
    <row r="212">
      <c r="A212" s="24"/>
      <c r="B212" s="24"/>
      <c r="C212" s="31">
        <v>88.5</v>
      </c>
      <c r="D212" s="31">
        <v>87.0</v>
      </c>
      <c r="E212" s="31">
        <v>88.5</v>
      </c>
      <c r="F212" s="31">
        <v>88.5</v>
      </c>
      <c r="G212" s="31">
        <v>85.5</v>
      </c>
      <c r="H212" s="31">
        <v>88.5</v>
      </c>
      <c r="I212" s="31">
        <v>88.5</v>
      </c>
      <c r="J212" s="31">
        <v>85.5</v>
      </c>
      <c r="K212" s="31">
        <v>87.0</v>
      </c>
      <c r="L212" s="31">
        <v>70.5</v>
      </c>
      <c r="M212" s="31">
        <v>85.5</v>
      </c>
      <c r="N212" s="31">
        <v>57.0</v>
      </c>
      <c r="O212" s="31">
        <v>58.5</v>
      </c>
      <c r="P212" s="31">
        <v>85.5</v>
      </c>
      <c r="Q212" s="31">
        <v>87.0</v>
      </c>
      <c r="R212" s="31">
        <v>64.5</v>
      </c>
      <c r="S212" s="31">
        <v>66.0</v>
      </c>
      <c r="T212" s="31">
        <v>75.0</v>
      </c>
      <c r="U212" s="31">
        <v>85.5</v>
      </c>
      <c r="V212" s="31">
        <v>57.0</v>
      </c>
      <c r="W212" s="31">
        <v>70.5</v>
      </c>
      <c r="X212" s="31">
        <v>75.0</v>
      </c>
      <c r="Y212" s="24"/>
      <c r="Z212" s="24"/>
      <c r="AA212" s="24"/>
      <c r="AB212" s="31">
        <v>90.0</v>
      </c>
      <c r="AC212" s="31">
        <v>87.0</v>
      </c>
      <c r="AD212" s="31">
        <v>87.0</v>
      </c>
      <c r="AE212" s="31">
        <v>87.0</v>
      </c>
      <c r="AF212" s="31">
        <v>87.0</v>
      </c>
      <c r="AG212" s="31">
        <v>85.5</v>
      </c>
      <c r="AH212" s="31">
        <v>79.5</v>
      </c>
      <c r="AI212" s="24"/>
      <c r="AJ212" s="24"/>
      <c r="AL212" s="6"/>
      <c r="AM212" s="6"/>
      <c r="AO212" s="6">
        <f t="shared" si="25"/>
        <v>10.64155115</v>
      </c>
      <c r="AQ212" s="6"/>
      <c r="AR212" s="6"/>
      <c r="AS212" s="6"/>
      <c r="AT212" s="6"/>
      <c r="AU212" s="6"/>
      <c r="AV212" s="6"/>
      <c r="AX212" s="4"/>
      <c r="AY212" s="4"/>
      <c r="AZ212" s="4"/>
      <c r="BA212" s="4"/>
      <c r="BB212" s="4"/>
      <c r="BC212" s="4"/>
      <c r="BE212" s="4"/>
    </row>
    <row r="213">
      <c r="A213" s="24"/>
      <c r="B213" s="35" t="s">
        <v>33</v>
      </c>
      <c r="C213" s="24">
        <v>6.0</v>
      </c>
      <c r="D213" s="24">
        <v>5.0</v>
      </c>
      <c r="E213" s="24">
        <v>3.0</v>
      </c>
      <c r="F213" s="24">
        <v>4.0</v>
      </c>
      <c r="G213" s="24">
        <v>5.0</v>
      </c>
      <c r="H213" s="24">
        <v>1.0</v>
      </c>
      <c r="I213" s="24">
        <v>5.0</v>
      </c>
      <c r="J213" s="24">
        <v>2.0</v>
      </c>
      <c r="K213" s="24">
        <v>3.0</v>
      </c>
      <c r="L213" s="24">
        <v>3.0</v>
      </c>
      <c r="M213" s="24">
        <v>3.0</v>
      </c>
      <c r="N213" s="24">
        <v>6.0</v>
      </c>
      <c r="O213" s="24">
        <v>6.0</v>
      </c>
      <c r="P213" s="24">
        <v>6.0</v>
      </c>
      <c r="Q213" s="24">
        <v>6.0</v>
      </c>
      <c r="R213" s="24">
        <v>2.0</v>
      </c>
      <c r="S213" s="24">
        <v>3.0</v>
      </c>
      <c r="T213" s="24">
        <v>6.0</v>
      </c>
      <c r="U213" s="24">
        <v>1.0</v>
      </c>
      <c r="V213" s="24">
        <v>2.0</v>
      </c>
      <c r="W213" s="24">
        <v>1.0</v>
      </c>
      <c r="X213" s="24">
        <v>1.0</v>
      </c>
      <c r="Y213" s="24"/>
      <c r="Z213" s="24"/>
      <c r="AA213" s="24"/>
      <c r="AB213" s="24">
        <v>1.0</v>
      </c>
      <c r="AC213" s="24">
        <v>1.0</v>
      </c>
      <c r="AD213" s="24">
        <v>4.0</v>
      </c>
      <c r="AE213" s="24">
        <v>1.0</v>
      </c>
      <c r="AF213" s="24">
        <v>3.0</v>
      </c>
      <c r="AG213" s="24">
        <v>6.0</v>
      </c>
      <c r="AH213" s="24">
        <v>2.0</v>
      </c>
      <c r="AI213" s="24"/>
      <c r="AJ213" s="24"/>
      <c r="AL213" s="29">
        <f>7-G213</f>
        <v>2</v>
      </c>
      <c r="AM213" s="29">
        <f>7-J213</f>
        <v>5</v>
      </c>
      <c r="AO213" s="6">
        <f t="shared" si="25"/>
        <v>1.934901125</v>
      </c>
      <c r="AQ213" s="29">
        <f t="shared" ref="AQ213:AS213" si="56">E213</f>
        <v>3</v>
      </c>
      <c r="AR213" s="29">
        <f t="shared" si="56"/>
        <v>4</v>
      </c>
      <c r="AS213" s="29">
        <f t="shared" si="56"/>
        <v>5</v>
      </c>
      <c r="AT213" s="29">
        <f>sum(C213,D213,E213,AL213,H213,I213,AM213)</f>
        <v>27</v>
      </c>
      <c r="AU213" s="29">
        <f>sum(P213:T213)</f>
        <v>23</v>
      </c>
      <c r="AV213" s="29">
        <f>sum(U213:X213)</f>
        <v>5</v>
      </c>
      <c r="AX213" s="4"/>
      <c r="AY213" s="4"/>
      <c r="AZ213" s="4"/>
      <c r="BA213" s="4"/>
      <c r="BB213" s="4"/>
      <c r="BC213" s="4"/>
      <c r="BE213" s="4"/>
    </row>
    <row r="214">
      <c r="A214" s="24"/>
      <c r="B214" s="24"/>
      <c r="C214" s="31">
        <v>84.0</v>
      </c>
      <c r="D214" s="31">
        <v>49.5</v>
      </c>
      <c r="E214" s="31">
        <v>67.5</v>
      </c>
      <c r="F214" s="31">
        <v>64.5</v>
      </c>
      <c r="G214" s="31">
        <v>7.5</v>
      </c>
      <c r="H214" s="31">
        <v>7.5</v>
      </c>
      <c r="I214" s="31">
        <v>22.5</v>
      </c>
      <c r="J214" s="31">
        <v>133.5</v>
      </c>
      <c r="K214" s="31">
        <v>13.5</v>
      </c>
      <c r="L214" s="31">
        <v>79.5</v>
      </c>
      <c r="M214" s="31">
        <v>82.5</v>
      </c>
      <c r="N214" s="31">
        <v>57.0</v>
      </c>
      <c r="O214" s="31">
        <v>67.5</v>
      </c>
      <c r="P214" s="31">
        <v>70.5</v>
      </c>
      <c r="Q214" s="31">
        <v>79.5</v>
      </c>
      <c r="R214" s="31">
        <v>75.0</v>
      </c>
      <c r="S214" s="31">
        <v>67.5</v>
      </c>
      <c r="T214" s="31">
        <v>75.0</v>
      </c>
      <c r="U214" s="31">
        <v>90.0</v>
      </c>
      <c r="V214" s="31">
        <v>78.0</v>
      </c>
      <c r="W214" s="31">
        <v>90.0</v>
      </c>
      <c r="X214" s="31">
        <v>76.5</v>
      </c>
      <c r="Y214" s="24"/>
      <c r="Z214" s="24"/>
      <c r="AA214" s="24"/>
      <c r="AB214" s="31">
        <v>90.0</v>
      </c>
      <c r="AC214" s="31">
        <v>81.0</v>
      </c>
      <c r="AD214" s="31">
        <v>51.0</v>
      </c>
      <c r="AE214" s="31">
        <v>90.0</v>
      </c>
      <c r="AF214" s="31">
        <v>90.0</v>
      </c>
      <c r="AG214" s="31">
        <v>70.5</v>
      </c>
      <c r="AH214" s="31">
        <v>84.0</v>
      </c>
      <c r="AI214" s="24"/>
      <c r="AJ214" s="24"/>
      <c r="AL214" s="6"/>
      <c r="AM214" s="6"/>
      <c r="AO214" s="6">
        <f t="shared" si="25"/>
        <v>27.55303887</v>
      </c>
      <c r="AQ214" s="6"/>
      <c r="AR214" s="6"/>
      <c r="AS214" s="6"/>
      <c r="AT214" s="6"/>
      <c r="AU214" s="6"/>
      <c r="AV214" s="6"/>
      <c r="AX214" s="4"/>
      <c r="AY214" s="4"/>
      <c r="AZ214" s="4"/>
      <c r="BA214" s="4"/>
      <c r="BB214" s="4"/>
      <c r="BC214" s="4"/>
      <c r="BE214" s="4"/>
    </row>
    <row r="215">
      <c r="A215" s="24"/>
      <c r="B215" s="35" t="s">
        <v>34</v>
      </c>
      <c r="C215" s="24">
        <v>3.0</v>
      </c>
      <c r="D215" s="24">
        <v>5.0</v>
      </c>
      <c r="E215" s="24">
        <v>6.0</v>
      </c>
      <c r="F215" s="24">
        <v>1.0</v>
      </c>
      <c r="G215" s="24">
        <v>6.0</v>
      </c>
      <c r="H215" s="24">
        <v>1.0</v>
      </c>
      <c r="I215" s="24">
        <v>4.0</v>
      </c>
      <c r="J215" s="24">
        <v>6.0</v>
      </c>
      <c r="K215" s="24">
        <v>1.0</v>
      </c>
      <c r="L215" s="24">
        <v>1.0</v>
      </c>
      <c r="M215" s="24">
        <v>6.0</v>
      </c>
      <c r="N215" s="24">
        <v>7.0</v>
      </c>
      <c r="O215" s="24">
        <v>3.0</v>
      </c>
      <c r="P215" s="24">
        <v>4.0</v>
      </c>
      <c r="Q215" s="24">
        <v>4.0</v>
      </c>
      <c r="R215" s="24">
        <v>4.0</v>
      </c>
      <c r="S215" s="24">
        <v>1.0</v>
      </c>
      <c r="T215" s="24">
        <v>1.0</v>
      </c>
      <c r="U215" s="24">
        <v>1.0</v>
      </c>
      <c r="V215" s="24">
        <v>2.0</v>
      </c>
      <c r="W215" s="24">
        <v>5.0</v>
      </c>
      <c r="X215" s="24">
        <v>2.0</v>
      </c>
      <c r="Y215" s="24"/>
      <c r="Z215" s="24"/>
      <c r="AA215" s="24"/>
      <c r="AB215" s="24">
        <v>1.0</v>
      </c>
      <c r="AC215" s="24">
        <v>1.0</v>
      </c>
      <c r="AD215" s="24">
        <v>1.0</v>
      </c>
      <c r="AE215" s="24">
        <v>1.0</v>
      </c>
      <c r="AF215" s="24">
        <v>5.0</v>
      </c>
      <c r="AG215" s="24">
        <v>2.0</v>
      </c>
      <c r="AH215" s="24">
        <v>1.0</v>
      </c>
      <c r="AI215" s="24"/>
      <c r="AJ215" s="24"/>
      <c r="AL215" s="29">
        <f>7-G215</f>
        <v>1</v>
      </c>
      <c r="AM215" s="29">
        <f>7-J215</f>
        <v>1</v>
      </c>
      <c r="AO215" s="6">
        <f t="shared" si="25"/>
        <v>2.061254102</v>
      </c>
      <c r="AQ215" s="29">
        <f t="shared" ref="AQ215:AS215" si="57">E215</f>
        <v>6</v>
      </c>
      <c r="AR215" s="29">
        <f t="shared" si="57"/>
        <v>1</v>
      </c>
      <c r="AS215" s="29">
        <f t="shared" si="57"/>
        <v>6</v>
      </c>
      <c r="AT215" s="29">
        <f>sum(C215,D215,E215,AL215,H215,I215,AM215)</f>
        <v>21</v>
      </c>
      <c r="AU215" s="29">
        <f>sum(P215:T215)</f>
        <v>14</v>
      </c>
      <c r="AV215" s="29">
        <f>sum(U215:X215)</f>
        <v>10</v>
      </c>
      <c r="AX215" s="4"/>
      <c r="AY215" s="4"/>
      <c r="AZ215" s="4"/>
      <c r="BA215" s="4"/>
      <c r="BB215" s="4"/>
      <c r="BC215" s="4"/>
      <c r="BE215" s="4"/>
    </row>
    <row r="216">
      <c r="A216" s="24"/>
      <c r="B216" s="24"/>
      <c r="C216" s="31">
        <v>24.0</v>
      </c>
      <c r="D216" s="31">
        <v>22.5</v>
      </c>
      <c r="E216" s="31">
        <v>48.0</v>
      </c>
      <c r="F216" s="31">
        <v>60.0</v>
      </c>
      <c r="G216" s="31">
        <v>70.5</v>
      </c>
      <c r="H216" s="31">
        <v>78.0</v>
      </c>
      <c r="I216" s="31">
        <v>55.5</v>
      </c>
      <c r="J216" s="31">
        <v>33.0</v>
      </c>
      <c r="K216" s="31">
        <v>82.5</v>
      </c>
      <c r="L216" s="31">
        <v>70.5</v>
      </c>
      <c r="M216" s="31">
        <v>79.5</v>
      </c>
      <c r="N216" s="31">
        <v>76.5</v>
      </c>
      <c r="O216" s="31">
        <v>69.0</v>
      </c>
      <c r="P216" s="31">
        <v>79.5</v>
      </c>
      <c r="Q216" s="31">
        <v>79.5</v>
      </c>
      <c r="R216" s="31">
        <v>84.0</v>
      </c>
      <c r="S216" s="31">
        <v>87.0</v>
      </c>
      <c r="T216" s="31">
        <v>63.0</v>
      </c>
      <c r="U216" s="31">
        <v>72.0</v>
      </c>
      <c r="V216" s="31">
        <v>75.0</v>
      </c>
      <c r="W216" s="31">
        <v>39.0</v>
      </c>
      <c r="X216" s="31">
        <v>67.5</v>
      </c>
      <c r="Y216" s="24"/>
      <c r="Z216" s="24"/>
      <c r="AA216" s="24"/>
      <c r="AB216" s="31">
        <v>87.0</v>
      </c>
      <c r="AC216" s="31">
        <v>73.5</v>
      </c>
      <c r="AD216" s="31">
        <v>87.0</v>
      </c>
      <c r="AE216" s="31">
        <v>87.0</v>
      </c>
      <c r="AF216" s="31">
        <v>49.5</v>
      </c>
      <c r="AG216" s="31">
        <v>52.5</v>
      </c>
      <c r="AH216" s="31">
        <v>87.0</v>
      </c>
      <c r="AI216" s="24"/>
      <c r="AJ216" s="24"/>
      <c r="AL216" s="6"/>
      <c r="AM216" s="6"/>
      <c r="AO216" s="6">
        <f t="shared" si="25"/>
        <v>19.09826805</v>
      </c>
      <c r="AQ216" s="6"/>
      <c r="AR216" s="6"/>
      <c r="AS216" s="6"/>
      <c r="AT216" s="6"/>
      <c r="AU216" s="6"/>
      <c r="AV216" s="6"/>
      <c r="AX216" s="4"/>
      <c r="AY216" s="4"/>
      <c r="AZ216" s="4"/>
      <c r="BA216" s="4"/>
      <c r="BB216" s="4"/>
      <c r="BC216" s="4"/>
      <c r="BE216" s="4"/>
    </row>
    <row r="217">
      <c r="A217" s="24"/>
      <c r="B217" s="35" t="s">
        <v>35</v>
      </c>
      <c r="C217" s="24">
        <v>4.0</v>
      </c>
      <c r="D217" s="24">
        <v>4.0</v>
      </c>
      <c r="E217" s="24">
        <v>4.0</v>
      </c>
      <c r="F217" s="24">
        <v>4.0</v>
      </c>
      <c r="G217" s="24">
        <v>1.0</v>
      </c>
      <c r="H217" s="24">
        <v>1.0</v>
      </c>
      <c r="I217" s="24">
        <v>1.0</v>
      </c>
      <c r="J217" s="24">
        <v>1.0</v>
      </c>
      <c r="K217" s="24">
        <v>5.0</v>
      </c>
      <c r="L217" s="24">
        <v>7.0</v>
      </c>
      <c r="M217" s="24">
        <v>5.0</v>
      </c>
      <c r="N217" s="24">
        <v>1.0</v>
      </c>
      <c r="O217" s="24">
        <v>7.0</v>
      </c>
      <c r="P217" s="24">
        <v>1.0</v>
      </c>
      <c r="Q217" s="24">
        <v>4.0</v>
      </c>
      <c r="R217" s="24">
        <v>1.0</v>
      </c>
      <c r="S217" s="24">
        <v>1.0</v>
      </c>
      <c r="T217" s="24">
        <v>1.0</v>
      </c>
      <c r="U217" s="24">
        <v>1.0</v>
      </c>
      <c r="V217" s="24">
        <v>5.0</v>
      </c>
      <c r="W217" s="24">
        <v>1.0</v>
      </c>
      <c r="X217" s="24">
        <v>1.0</v>
      </c>
      <c r="Y217" s="24"/>
      <c r="Z217" s="24"/>
      <c r="AA217" s="24"/>
      <c r="AB217" s="24">
        <v>1.0</v>
      </c>
      <c r="AC217" s="24">
        <v>1.0</v>
      </c>
      <c r="AD217" s="24">
        <v>1.0</v>
      </c>
      <c r="AE217" s="24">
        <v>1.0</v>
      </c>
      <c r="AF217" s="24">
        <v>4.0</v>
      </c>
      <c r="AG217" s="24">
        <v>2.0</v>
      </c>
      <c r="AH217" s="24">
        <v>1.0</v>
      </c>
      <c r="AI217" s="24"/>
      <c r="AJ217" s="24"/>
      <c r="AL217" s="29">
        <f>7-G217</f>
        <v>6</v>
      </c>
      <c r="AM217" s="29">
        <f>7-J217</f>
        <v>6</v>
      </c>
      <c r="AO217" s="6">
        <f t="shared" si="25"/>
        <v>1.993215092</v>
      </c>
      <c r="AQ217" s="29">
        <f t="shared" ref="AQ217:AS217" si="58">E217</f>
        <v>4</v>
      </c>
      <c r="AR217" s="29">
        <f t="shared" si="58"/>
        <v>4</v>
      </c>
      <c r="AS217" s="29">
        <f t="shared" si="58"/>
        <v>1</v>
      </c>
      <c r="AT217" s="29">
        <f>sum(C217,D217,E217,AL217,H217,I217,AM217)</f>
        <v>26</v>
      </c>
      <c r="AU217" s="29">
        <f>sum(P217:T217)</f>
        <v>8</v>
      </c>
      <c r="AV217" s="29">
        <f>sum(U217:X217)</f>
        <v>8</v>
      </c>
      <c r="AX217" s="4"/>
      <c r="AY217" s="4"/>
      <c r="AZ217" s="4"/>
      <c r="BA217" s="4"/>
      <c r="BB217" s="4"/>
      <c r="BC217" s="4"/>
      <c r="BE217" s="4"/>
    </row>
    <row r="218">
      <c r="A218" s="24"/>
      <c r="B218" s="24"/>
      <c r="C218" s="31">
        <v>90.0</v>
      </c>
      <c r="D218" s="31">
        <v>88.5</v>
      </c>
      <c r="E218" s="31">
        <v>88.5</v>
      </c>
      <c r="F218" s="31">
        <v>87.0</v>
      </c>
      <c r="G218" s="31">
        <v>87.0</v>
      </c>
      <c r="H218" s="31">
        <v>87.0</v>
      </c>
      <c r="I218" s="31">
        <v>88.5</v>
      </c>
      <c r="J218" s="31">
        <v>87.0</v>
      </c>
      <c r="K218" s="31">
        <v>85.5</v>
      </c>
      <c r="L218" s="31">
        <v>64.5</v>
      </c>
      <c r="M218" s="31">
        <v>52.5</v>
      </c>
      <c r="N218" s="31">
        <v>67.5</v>
      </c>
      <c r="O218" s="31">
        <v>85.5</v>
      </c>
      <c r="P218" s="31">
        <v>85.5</v>
      </c>
      <c r="Q218" s="31">
        <v>87.0</v>
      </c>
      <c r="R218" s="31">
        <v>90.0</v>
      </c>
      <c r="S218" s="31">
        <v>67.5</v>
      </c>
      <c r="T218" s="31">
        <v>87.0</v>
      </c>
      <c r="U218" s="31">
        <v>87.0</v>
      </c>
      <c r="V218" s="31">
        <v>87.0</v>
      </c>
      <c r="W218" s="31">
        <v>87.0</v>
      </c>
      <c r="X218" s="31">
        <v>87.0</v>
      </c>
      <c r="Y218" s="24"/>
      <c r="Z218" s="24"/>
      <c r="AA218" s="24"/>
      <c r="AB218" s="31">
        <v>90.0</v>
      </c>
      <c r="AC218" s="31">
        <v>90.0</v>
      </c>
      <c r="AD218" s="31">
        <v>90.0</v>
      </c>
      <c r="AE218" s="31">
        <v>90.0</v>
      </c>
      <c r="AF218" s="31">
        <v>64.5</v>
      </c>
      <c r="AG218" s="31">
        <v>76.5</v>
      </c>
      <c r="AH218" s="31">
        <v>63.0</v>
      </c>
      <c r="AI218" s="24"/>
      <c r="AJ218" s="24"/>
      <c r="AL218" s="6"/>
      <c r="AM218" s="6"/>
      <c r="AO218" s="6">
        <f t="shared" si="25"/>
        <v>10.50263866</v>
      </c>
      <c r="AQ218" s="6"/>
      <c r="AR218" s="6"/>
      <c r="AS218" s="6"/>
      <c r="AT218" s="6"/>
      <c r="AU218" s="6"/>
      <c r="AV218" s="6"/>
      <c r="AX218" s="4"/>
      <c r="AY218" s="4"/>
      <c r="AZ218" s="4"/>
      <c r="BA218" s="4"/>
      <c r="BB218" s="4"/>
      <c r="BC218" s="4"/>
      <c r="BE218" s="4"/>
    </row>
    <row r="219">
      <c r="A219" s="24"/>
      <c r="B219" s="35" t="s">
        <v>36</v>
      </c>
      <c r="C219" s="24">
        <v>5.0</v>
      </c>
      <c r="D219" s="24">
        <v>6.0</v>
      </c>
      <c r="E219" s="24">
        <v>6.0</v>
      </c>
      <c r="F219" s="24">
        <v>6.0</v>
      </c>
      <c r="G219" s="24">
        <v>5.0</v>
      </c>
      <c r="H219" s="24">
        <v>6.0</v>
      </c>
      <c r="I219" s="24">
        <v>5.0</v>
      </c>
      <c r="J219" s="24">
        <v>5.0</v>
      </c>
      <c r="K219" s="24">
        <v>7.0</v>
      </c>
      <c r="L219" s="24">
        <v>2.0</v>
      </c>
      <c r="M219" s="24">
        <v>6.0</v>
      </c>
      <c r="N219" s="24">
        <v>7.0</v>
      </c>
      <c r="O219" s="24">
        <v>4.0</v>
      </c>
      <c r="P219" s="24">
        <v>2.0</v>
      </c>
      <c r="Q219" s="24">
        <v>2.0</v>
      </c>
      <c r="R219" s="24">
        <v>2.0</v>
      </c>
      <c r="S219" s="24">
        <v>2.0</v>
      </c>
      <c r="T219" s="24">
        <v>2.0</v>
      </c>
      <c r="U219" s="24">
        <v>3.0</v>
      </c>
      <c r="V219" s="24">
        <v>5.0</v>
      </c>
      <c r="W219" s="24">
        <v>3.0</v>
      </c>
      <c r="X219" s="24">
        <v>6.0</v>
      </c>
      <c r="Y219" s="24"/>
      <c r="Z219" s="24"/>
      <c r="AA219" s="24"/>
      <c r="AB219" s="24">
        <v>1.0</v>
      </c>
      <c r="AC219" s="24">
        <v>2.0</v>
      </c>
      <c r="AD219" s="24">
        <v>4.0</v>
      </c>
      <c r="AE219" s="24">
        <v>4.0</v>
      </c>
      <c r="AF219" s="24">
        <v>5.0</v>
      </c>
      <c r="AG219" s="24">
        <v>3.0</v>
      </c>
      <c r="AH219" s="24">
        <v>4.0</v>
      </c>
      <c r="AI219" s="24"/>
      <c r="AJ219" s="24"/>
      <c r="AL219" s="29">
        <f>7-G219</f>
        <v>2</v>
      </c>
      <c r="AM219" s="29">
        <f>7-J219</f>
        <v>2</v>
      </c>
      <c r="AO219" s="6">
        <f t="shared" si="25"/>
        <v>1.767244383</v>
      </c>
      <c r="AQ219" s="29">
        <f t="shared" ref="AQ219:AS219" si="59">E219</f>
        <v>6</v>
      </c>
      <c r="AR219" s="29">
        <f t="shared" si="59"/>
        <v>6</v>
      </c>
      <c r="AS219" s="29">
        <f t="shared" si="59"/>
        <v>5</v>
      </c>
      <c r="AT219" s="29">
        <f>sum(C219,D219,E219,AL219,H219,I219,AM219)</f>
        <v>32</v>
      </c>
      <c r="AU219" s="29">
        <f>sum(P219:T219)</f>
        <v>10</v>
      </c>
      <c r="AV219" s="29">
        <f>sum(U219:X219)</f>
        <v>17</v>
      </c>
      <c r="AX219" s="4"/>
      <c r="AY219" s="4"/>
      <c r="AZ219" s="4"/>
      <c r="BA219" s="4"/>
      <c r="BB219" s="4"/>
      <c r="BC219" s="4"/>
      <c r="BE219" s="4"/>
    </row>
    <row r="220">
      <c r="A220" s="24"/>
      <c r="B220" s="24"/>
      <c r="C220" s="31">
        <v>33.0</v>
      </c>
      <c r="D220" s="31">
        <v>48.0</v>
      </c>
      <c r="E220" s="31">
        <v>55.5</v>
      </c>
      <c r="F220" s="31">
        <v>67.5</v>
      </c>
      <c r="G220" s="31">
        <v>31.5</v>
      </c>
      <c r="H220" s="31">
        <v>75.0</v>
      </c>
      <c r="I220" s="31">
        <v>33.0</v>
      </c>
      <c r="J220" s="31">
        <v>27.0</v>
      </c>
      <c r="K220" s="31">
        <v>87.0</v>
      </c>
      <c r="L220" s="31">
        <v>21.0</v>
      </c>
      <c r="M220" s="31">
        <v>42.0</v>
      </c>
      <c r="N220" s="31">
        <v>85.5</v>
      </c>
      <c r="O220" s="31">
        <v>45.0</v>
      </c>
      <c r="P220" s="31">
        <v>72.0</v>
      </c>
      <c r="Q220" s="31">
        <v>78.0</v>
      </c>
      <c r="R220" s="31">
        <v>79.5</v>
      </c>
      <c r="S220" s="31">
        <v>81.0</v>
      </c>
      <c r="T220" s="31">
        <v>82.5</v>
      </c>
      <c r="U220" s="31">
        <v>67.5</v>
      </c>
      <c r="V220" s="31">
        <v>46.5</v>
      </c>
      <c r="W220" s="31">
        <v>40.5</v>
      </c>
      <c r="X220" s="31">
        <v>58.5</v>
      </c>
      <c r="Y220" s="24"/>
      <c r="Z220" s="24"/>
      <c r="AA220" s="24"/>
      <c r="AB220" s="31">
        <v>66.0</v>
      </c>
      <c r="AC220" s="31">
        <v>67.5</v>
      </c>
      <c r="AD220" s="31">
        <v>46.5</v>
      </c>
      <c r="AE220" s="31">
        <v>46.5</v>
      </c>
      <c r="AF220" s="31">
        <v>52.5</v>
      </c>
      <c r="AG220" s="31">
        <v>45.0</v>
      </c>
      <c r="AH220" s="31">
        <v>46.5</v>
      </c>
      <c r="AI220" s="24"/>
      <c r="AJ220" s="24"/>
      <c r="AL220" s="6"/>
      <c r="AM220" s="6"/>
      <c r="AO220" s="6">
        <f t="shared" si="25"/>
        <v>19.04349119</v>
      </c>
      <c r="AQ220" s="6"/>
      <c r="AR220" s="6"/>
      <c r="AS220" s="6"/>
      <c r="AT220" s="6"/>
      <c r="AU220" s="6"/>
      <c r="AV220" s="6"/>
      <c r="AX220" s="4"/>
      <c r="AY220" s="4"/>
      <c r="AZ220" s="4"/>
      <c r="BA220" s="4"/>
      <c r="BB220" s="4"/>
      <c r="BC220" s="4"/>
      <c r="BE220" s="4"/>
    </row>
    <row r="222">
      <c r="B222" s="2" t="s">
        <v>140</v>
      </c>
      <c r="C222" s="3" t="s">
        <v>141</v>
      </c>
      <c r="D222" s="3">
        <v>1.0</v>
      </c>
      <c r="E222" s="3">
        <v>2.0</v>
      </c>
      <c r="F222" s="3">
        <v>3.0</v>
      </c>
      <c r="G222" s="3">
        <v>4.0</v>
      </c>
      <c r="H222" s="3">
        <v>5.0</v>
      </c>
      <c r="I222" s="3">
        <v>6.0</v>
      </c>
      <c r="J222" s="3">
        <v>7.0</v>
      </c>
      <c r="K222" s="3">
        <v>8.0</v>
      </c>
      <c r="L222" s="3">
        <v>9.0</v>
      </c>
      <c r="M222" s="3">
        <v>10.0</v>
      </c>
      <c r="N222" s="3">
        <v>11.0</v>
      </c>
      <c r="O222" s="3">
        <v>12.0</v>
      </c>
      <c r="Q222" s="4">
        <v>120.0</v>
      </c>
      <c r="S222" s="3" t="s">
        <v>142</v>
      </c>
      <c r="T222" s="3" t="s">
        <v>143</v>
      </c>
      <c r="V222" s="10" t="s">
        <v>144</v>
      </c>
      <c r="X222" s="10" t="s">
        <v>145</v>
      </c>
      <c r="Y222" s="10" t="s">
        <v>146</v>
      </c>
      <c r="Z222" s="10" t="s">
        <v>147</v>
      </c>
    </row>
    <row r="223">
      <c r="B223" s="5" t="s">
        <v>2</v>
      </c>
      <c r="C223" s="6">
        <v>1.0</v>
      </c>
      <c r="D223" s="6">
        <v>114.0</v>
      </c>
      <c r="E223" s="6">
        <v>42.0</v>
      </c>
      <c r="F223" s="6">
        <v>114.0</v>
      </c>
      <c r="G223" s="6">
        <v>113.0</v>
      </c>
      <c r="H223" s="6">
        <v>113.0</v>
      </c>
      <c r="I223" s="6">
        <v>112.0</v>
      </c>
      <c r="J223" s="6">
        <v>93.0</v>
      </c>
      <c r="K223" s="6">
        <v>103.0</v>
      </c>
      <c r="L223" s="6">
        <v>32.0</v>
      </c>
      <c r="M223" s="6">
        <v>103.0</v>
      </c>
      <c r="N223" s="6">
        <v>112.0</v>
      </c>
      <c r="O223" s="6">
        <v>117.0</v>
      </c>
      <c r="S223" s="6">
        <f t="shared" ref="S223:S257" si="60">$Q$222-E223</f>
        <v>78</v>
      </c>
      <c r="T223" s="6">
        <f t="shared" ref="T223:T257" si="61">$Q$222-L223</f>
        <v>88</v>
      </c>
      <c r="U223" s="4"/>
      <c r="V223" s="6">
        <f t="shared" ref="V223:V257" si="62">STDEV(C223:O223)</f>
        <v>38.56047531</v>
      </c>
      <c r="X223" s="6">
        <f t="shared" ref="X223:X257" si="63">SUM(I223,F223,G223,K223,D223,S223,T223)/7</f>
        <v>103.1428571</v>
      </c>
      <c r="Y223" s="6">
        <f t="shared" ref="Y223:Y257" si="64">SUM(N223,O223,M223)/3</f>
        <v>110.6666667</v>
      </c>
      <c r="Z223" s="6">
        <f t="shared" ref="Z223:Z257" si="65">sum(J223,H223)/2</f>
        <v>103</v>
      </c>
      <c r="AA223" s="4"/>
      <c r="AB223" s="4"/>
      <c r="AD223" s="4"/>
      <c r="AE223" s="4"/>
      <c r="AF223" s="4"/>
    </row>
    <row r="224">
      <c r="B224" s="5" t="s">
        <v>3</v>
      </c>
      <c r="C224" s="6">
        <v>1.0</v>
      </c>
      <c r="D224" s="6">
        <v>120.0</v>
      </c>
      <c r="E224" s="6">
        <v>78.0</v>
      </c>
      <c r="F224" s="6">
        <v>120.0</v>
      </c>
      <c r="G224" s="6">
        <v>120.0</v>
      </c>
      <c r="H224" s="6">
        <v>60.0</v>
      </c>
      <c r="I224" s="6">
        <v>120.0</v>
      </c>
      <c r="J224" s="6">
        <v>60.0</v>
      </c>
      <c r="K224" s="6">
        <v>120.0</v>
      </c>
      <c r="L224" s="6">
        <v>10.0</v>
      </c>
      <c r="M224" s="6">
        <v>60.0</v>
      </c>
      <c r="N224" s="6">
        <v>120.0</v>
      </c>
      <c r="O224" s="6">
        <v>120.0</v>
      </c>
      <c r="S224" s="6">
        <f t="shared" si="60"/>
        <v>42</v>
      </c>
      <c r="T224" s="6">
        <f t="shared" si="61"/>
        <v>110</v>
      </c>
      <c r="U224" s="24"/>
      <c r="V224" s="6">
        <f t="shared" si="62"/>
        <v>43.94956317</v>
      </c>
      <c r="X224" s="6">
        <f t="shared" si="63"/>
        <v>107.4285714</v>
      </c>
      <c r="Y224" s="6">
        <f t="shared" si="64"/>
        <v>100</v>
      </c>
      <c r="Z224" s="6">
        <f t="shared" si="65"/>
        <v>60</v>
      </c>
      <c r="AA224" s="24"/>
      <c r="AB224" s="24"/>
      <c r="AD224" s="24"/>
      <c r="AE224" s="24"/>
      <c r="AF224" s="24"/>
    </row>
    <row r="225">
      <c r="B225" s="5" t="s">
        <v>4</v>
      </c>
      <c r="C225" s="6">
        <v>1.0</v>
      </c>
      <c r="D225" s="6">
        <v>91.0</v>
      </c>
      <c r="E225" s="6">
        <v>35.0</v>
      </c>
      <c r="F225" s="6">
        <v>110.0</v>
      </c>
      <c r="G225" s="6">
        <v>108.0</v>
      </c>
      <c r="H225" s="6">
        <v>67.0</v>
      </c>
      <c r="I225" s="6">
        <v>99.0</v>
      </c>
      <c r="J225" s="6">
        <v>73.0</v>
      </c>
      <c r="K225" s="6">
        <v>95.0</v>
      </c>
      <c r="L225" s="6">
        <v>32.0</v>
      </c>
      <c r="M225" s="6">
        <v>106.0</v>
      </c>
      <c r="N225" s="6">
        <v>105.0</v>
      </c>
      <c r="O225" s="6">
        <v>103.0</v>
      </c>
      <c r="S225" s="6">
        <f t="shared" si="60"/>
        <v>85</v>
      </c>
      <c r="T225" s="6">
        <f t="shared" si="61"/>
        <v>88</v>
      </c>
      <c r="V225" s="6">
        <f t="shared" si="62"/>
        <v>35.34554699</v>
      </c>
      <c r="X225" s="6">
        <f t="shared" si="63"/>
        <v>96.57142857</v>
      </c>
      <c r="Y225" s="6">
        <f t="shared" si="64"/>
        <v>104.6666667</v>
      </c>
      <c r="Z225" s="6">
        <f t="shared" si="65"/>
        <v>70</v>
      </c>
    </row>
    <row r="226">
      <c r="B226" s="5" t="s">
        <v>5</v>
      </c>
      <c r="C226" s="6">
        <v>1.0</v>
      </c>
      <c r="D226" s="6">
        <v>118.0</v>
      </c>
      <c r="E226" s="6">
        <v>55.0</v>
      </c>
      <c r="F226" s="6">
        <v>120.0</v>
      </c>
      <c r="G226" s="6">
        <v>90.0</v>
      </c>
      <c r="H226" s="6">
        <v>27.0</v>
      </c>
      <c r="I226" s="6">
        <v>95.0</v>
      </c>
      <c r="J226" s="6">
        <v>88.0</v>
      </c>
      <c r="K226" s="6">
        <v>114.0</v>
      </c>
      <c r="L226" s="6">
        <v>102.0</v>
      </c>
      <c r="M226" s="6">
        <v>110.0</v>
      </c>
      <c r="N226" s="6">
        <v>114.0</v>
      </c>
      <c r="O226" s="6">
        <v>114.0</v>
      </c>
      <c r="S226" s="6">
        <f t="shared" si="60"/>
        <v>65</v>
      </c>
      <c r="T226" s="6">
        <f t="shared" si="61"/>
        <v>18</v>
      </c>
      <c r="V226" s="6">
        <f t="shared" si="62"/>
        <v>37.70805532</v>
      </c>
      <c r="X226" s="6">
        <f t="shared" si="63"/>
        <v>88.57142857</v>
      </c>
      <c r="Y226" s="6">
        <f t="shared" si="64"/>
        <v>112.6666667</v>
      </c>
      <c r="Z226" s="6">
        <f t="shared" si="65"/>
        <v>57.5</v>
      </c>
    </row>
    <row r="227">
      <c r="B227" s="5" t="s">
        <v>6</v>
      </c>
      <c r="C227" s="6">
        <v>1.0</v>
      </c>
      <c r="D227" s="6">
        <v>24.0</v>
      </c>
      <c r="E227" s="6">
        <v>48.0</v>
      </c>
      <c r="F227" s="6">
        <v>108.0</v>
      </c>
      <c r="G227" s="6">
        <v>96.0</v>
      </c>
      <c r="H227" s="6">
        <v>84.0</v>
      </c>
      <c r="I227" s="6">
        <v>96.0</v>
      </c>
      <c r="J227" s="6">
        <v>96.0</v>
      </c>
      <c r="K227" s="6">
        <v>84.0</v>
      </c>
      <c r="L227" s="6">
        <v>36.0</v>
      </c>
      <c r="M227" s="6">
        <v>108.0</v>
      </c>
      <c r="N227" s="6">
        <v>108.0</v>
      </c>
      <c r="O227" s="6">
        <v>120.0</v>
      </c>
      <c r="S227" s="6">
        <f t="shared" si="60"/>
        <v>72</v>
      </c>
      <c r="T227" s="6">
        <f t="shared" si="61"/>
        <v>84</v>
      </c>
      <c r="V227" s="6">
        <f t="shared" si="62"/>
        <v>37.65531937</v>
      </c>
      <c r="X227" s="6">
        <f t="shared" si="63"/>
        <v>80.57142857</v>
      </c>
      <c r="Y227" s="6">
        <f t="shared" si="64"/>
        <v>112</v>
      </c>
      <c r="Z227" s="6">
        <f t="shared" si="65"/>
        <v>90</v>
      </c>
    </row>
    <row r="228">
      <c r="B228" s="5" t="s">
        <v>7</v>
      </c>
      <c r="C228" s="6">
        <v>1.0</v>
      </c>
      <c r="D228" s="6">
        <v>91.0</v>
      </c>
      <c r="E228" s="6">
        <v>2.0</v>
      </c>
      <c r="F228" s="6">
        <v>118.0</v>
      </c>
      <c r="G228" s="6">
        <v>115.0</v>
      </c>
      <c r="H228" s="6">
        <v>60.0</v>
      </c>
      <c r="I228" s="6">
        <v>120.0</v>
      </c>
      <c r="J228" s="6">
        <v>88.0</v>
      </c>
      <c r="K228" s="6">
        <v>103.0</v>
      </c>
      <c r="L228" s="6">
        <v>60.0</v>
      </c>
      <c r="M228" s="6">
        <v>120.0</v>
      </c>
      <c r="N228" s="6">
        <v>120.0</v>
      </c>
      <c r="O228" s="6">
        <v>120.0</v>
      </c>
      <c r="S228" s="6">
        <f t="shared" si="60"/>
        <v>118</v>
      </c>
      <c r="T228" s="6">
        <f t="shared" si="61"/>
        <v>60</v>
      </c>
      <c r="V228" s="6">
        <f t="shared" si="62"/>
        <v>43.24349662</v>
      </c>
      <c r="X228" s="6">
        <f t="shared" si="63"/>
        <v>103.5714286</v>
      </c>
      <c r="Y228" s="6">
        <f t="shared" si="64"/>
        <v>120</v>
      </c>
      <c r="Z228" s="6">
        <f t="shared" si="65"/>
        <v>74</v>
      </c>
    </row>
    <row r="229">
      <c r="B229" s="5" t="s">
        <v>8</v>
      </c>
      <c r="C229" s="6">
        <v>1.0</v>
      </c>
      <c r="D229" s="6">
        <v>77.0</v>
      </c>
      <c r="E229" s="6">
        <v>60.0</v>
      </c>
      <c r="F229" s="6">
        <v>104.0</v>
      </c>
      <c r="G229" s="6">
        <v>105.0</v>
      </c>
      <c r="H229" s="6">
        <v>108.0</v>
      </c>
      <c r="I229" s="6">
        <v>10.0</v>
      </c>
      <c r="J229" s="6">
        <v>67.0</v>
      </c>
      <c r="K229" s="6">
        <v>107.0</v>
      </c>
      <c r="L229" s="6">
        <v>60.0</v>
      </c>
      <c r="M229" s="6">
        <v>110.0</v>
      </c>
      <c r="N229" s="6">
        <v>117.0</v>
      </c>
      <c r="O229" s="6">
        <v>116.0</v>
      </c>
      <c r="S229" s="6">
        <f t="shared" si="60"/>
        <v>60</v>
      </c>
      <c r="T229" s="6">
        <f t="shared" si="61"/>
        <v>60</v>
      </c>
      <c r="V229" s="6">
        <f t="shared" si="62"/>
        <v>39.15534479</v>
      </c>
      <c r="X229" s="6">
        <f t="shared" si="63"/>
        <v>74.71428571</v>
      </c>
      <c r="Y229" s="6">
        <f t="shared" si="64"/>
        <v>114.3333333</v>
      </c>
      <c r="Z229" s="6">
        <f t="shared" si="65"/>
        <v>87.5</v>
      </c>
    </row>
    <row r="230">
      <c r="B230" s="5" t="s">
        <v>9</v>
      </c>
      <c r="C230" s="6">
        <v>1.0</v>
      </c>
      <c r="D230" s="6">
        <v>97.0</v>
      </c>
      <c r="E230" s="6">
        <v>13.0</v>
      </c>
      <c r="F230" s="6">
        <v>97.0</v>
      </c>
      <c r="G230" s="6">
        <v>60.0</v>
      </c>
      <c r="H230" s="6">
        <v>84.0</v>
      </c>
      <c r="I230" s="6">
        <v>82.0</v>
      </c>
      <c r="J230" s="6">
        <v>65.0</v>
      </c>
      <c r="K230" s="6">
        <v>87.0</v>
      </c>
      <c r="L230" s="6">
        <v>87.0</v>
      </c>
      <c r="M230" s="6">
        <v>104.0</v>
      </c>
      <c r="N230" s="6">
        <v>101.0</v>
      </c>
      <c r="O230" s="6">
        <v>92.0</v>
      </c>
      <c r="S230" s="6">
        <f t="shared" si="60"/>
        <v>107</v>
      </c>
      <c r="T230" s="6">
        <f t="shared" si="61"/>
        <v>33</v>
      </c>
      <c r="V230" s="6">
        <f t="shared" si="62"/>
        <v>32.70458291</v>
      </c>
      <c r="X230" s="6">
        <f t="shared" si="63"/>
        <v>80.42857143</v>
      </c>
      <c r="Y230" s="6">
        <f t="shared" si="64"/>
        <v>99</v>
      </c>
      <c r="Z230" s="6">
        <f t="shared" si="65"/>
        <v>74.5</v>
      </c>
    </row>
    <row r="231">
      <c r="B231" s="5" t="s">
        <v>10</v>
      </c>
      <c r="C231" s="6">
        <v>1.0</v>
      </c>
      <c r="D231" s="6">
        <v>60.0</v>
      </c>
      <c r="E231" s="6">
        <v>60.0</v>
      </c>
      <c r="F231" s="6">
        <v>120.0</v>
      </c>
      <c r="G231" s="6">
        <v>0.0</v>
      </c>
      <c r="H231" s="6">
        <v>0.0</v>
      </c>
      <c r="I231" s="6">
        <v>60.0</v>
      </c>
      <c r="J231" s="6">
        <v>60.0</v>
      </c>
      <c r="K231" s="6">
        <v>60.0</v>
      </c>
      <c r="L231" s="6">
        <v>120.0</v>
      </c>
      <c r="M231" s="6">
        <v>90.0</v>
      </c>
      <c r="N231" s="6">
        <v>120.0</v>
      </c>
      <c r="O231" s="6">
        <v>120.0</v>
      </c>
      <c r="S231" s="6">
        <f t="shared" si="60"/>
        <v>60</v>
      </c>
      <c r="T231" s="6">
        <f t="shared" si="61"/>
        <v>0</v>
      </c>
      <c r="V231" s="6">
        <f t="shared" si="62"/>
        <v>45.95650117</v>
      </c>
      <c r="X231" s="6">
        <f t="shared" si="63"/>
        <v>51.42857143</v>
      </c>
      <c r="Y231" s="6">
        <f t="shared" si="64"/>
        <v>110</v>
      </c>
      <c r="Z231" s="6">
        <f t="shared" si="65"/>
        <v>30</v>
      </c>
    </row>
    <row r="232">
      <c r="B232" s="5" t="s">
        <v>11</v>
      </c>
      <c r="C232" s="6">
        <v>1.0</v>
      </c>
      <c r="D232" s="6">
        <v>99.0</v>
      </c>
      <c r="E232" s="6">
        <v>13.0</v>
      </c>
      <c r="F232" s="6">
        <v>109.0</v>
      </c>
      <c r="G232" s="6">
        <v>110.0</v>
      </c>
      <c r="H232" s="6">
        <v>111.0</v>
      </c>
      <c r="I232" s="6">
        <v>103.0</v>
      </c>
      <c r="J232" s="6">
        <v>98.0</v>
      </c>
      <c r="K232" s="6">
        <v>99.0</v>
      </c>
      <c r="L232" s="6">
        <v>38.0</v>
      </c>
      <c r="M232" s="6">
        <v>100.0</v>
      </c>
      <c r="N232" s="6">
        <v>95.0</v>
      </c>
      <c r="O232" s="6">
        <v>99.0</v>
      </c>
      <c r="S232" s="6">
        <f t="shared" si="60"/>
        <v>107</v>
      </c>
      <c r="T232" s="6">
        <f t="shared" si="61"/>
        <v>82</v>
      </c>
      <c r="V232" s="6">
        <f t="shared" si="62"/>
        <v>38.36531553</v>
      </c>
      <c r="X232" s="6">
        <f t="shared" si="63"/>
        <v>101.2857143</v>
      </c>
      <c r="Y232" s="6">
        <f t="shared" si="64"/>
        <v>98</v>
      </c>
      <c r="Z232" s="6">
        <f t="shared" si="65"/>
        <v>104.5</v>
      </c>
    </row>
    <row r="233">
      <c r="B233" s="5" t="s">
        <v>12</v>
      </c>
      <c r="C233" s="6">
        <v>1.0</v>
      </c>
      <c r="D233" s="6">
        <v>120.0</v>
      </c>
      <c r="E233" s="6">
        <v>0.0</v>
      </c>
      <c r="F233" s="6">
        <v>120.0</v>
      </c>
      <c r="G233" s="6">
        <v>120.0</v>
      </c>
      <c r="H233" s="6">
        <v>120.0</v>
      </c>
      <c r="I233" s="6">
        <v>120.0</v>
      </c>
      <c r="J233" s="6">
        <v>0.0</v>
      </c>
      <c r="K233" s="6">
        <v>120.0</v>
      </c>
      <c r="L233" s="6">
        <v>0.0</v>
      </c>
      <c r="M233" s="6">
        <v>120.0</v>
      </c>
      <c r="N233" s="6">
        <v>120.0</v>
      </c>
      <c r="O233" s="6">
        <v>120.0</v>
      </c>
      <c r="S233" s="6">
        <f t="shared" si="60"/>
        <v>120</v>
      </c>
      <c r="T233" s="6">
        <f t="shared" si="61"/>
        <v>120</v>
      </c>
      <c r="V233" s="6">
        <f t="shared" si="62"/>
        <v>57.52658248</v>
      </c>
      <c r="X233" s="6">
        <f t="shared" si="63"/>
        <v>120</v>
      </c>
      <c r="Y233" s="6">
        <f t="shared" si="64"/>
        <v>120</v>
      </c>
      <c r="Z233" s="6">
        <f t="shared" si="65"/>
        <v>60</v>
      </c>
    </row>
    <row r="234">
      <c r="B234" s="5" t="s">
        <v>13</v>
      </c>
      <c r="C234" s="6">
        <v>1.0</v>
      </c>
      <c r="D234" s="6">
        <v>60.0</v>
      </c>
      <c r="E234" s="6">
        <v>7.0</v>
      </c>
      <c r="F234" s="6">
        <v>99.0</v>
      </c>
      <c r="G234" s="6">
        <v>83.0</v>
      </c>
      <c r="H234" s="6">
        <v>111.0</v>
      </c>
      <c r="I234" s="6">
        <v>105.0</v>
      </c>
      <c r="J234" s="6">
        <v>60.0</v>
      </c>
      <c r="K234" s="6">
        <v>108.0</v>
      </c>
      <c r="L234" s="6">
        <v>115.0</v>
      </c>
      <c r="M234" s="6">
        <v>115.0</v>
      </c>
      <c r="N234" s="6">
        <v>112.0</v>
      </c>
      <c r="O234" s="6">
        <v>115.0</v>
      </c>
      <c r="S234" s="6">
        <f t="shared" si="60"/>
        <v>113</v>
      </c>
      <c r="T234" s="6">
        <f t="shared" si="61"/>
        <v>5</v>
      </c>
      <c r="V234" s="6">
        <f t="shared" si="62"/>
        <v>40.42371733</v>
      </c>
      <c r="X234" s="6">
        <f t="shared" si="63"/>
        <v>81.85714286</v>
      </c>
      <c r="Y234" s="6">
        <f t="shared" si="64"/>
        <v>114</v>
      </c>
      <c r="Z234" s="6">
        <f t="shared" si="65"/>
        <v>85.5</v>
      </c>
    </row>
    <row r="235">
      <c r="B235" s="5" t="s">
        <v>14</v>
      </c>
      <c r="C235" s="6">
        <v>1.0</v>
      </c>
      <c r="D235" s="6">
        <v>99.0</v>
      </c>
      <c r="E235" s="6">
        <v>17.0</v>
      </c>
      <c r="F235" s="6">
        <v>90.0</v>
      </c>
      <c r="G235" s="6">
        <v>90.0</v>
      </c>
      <c r="H235" s="6">
        <v>90.0</v>
      </c>
      <c r="I235" s="6">
        <v>100.0</v>
      </c>
      <c r="J235" s="6">
        <v>100.0</v>
      </c>
      <c r="K235" s="6">
        <v>80.0</v>
      </c>
      <c r="L235" s="6">
        <v>66.0</v>
      </c>
      <c r="M235" s="6">
        <v>100.0</v>
      </c>
      <c r="N235" s="6">
        <v>100.0</v>
      </c>
      <c r="O235" s="6">
        <v>100.0</v>
      </c>
      <c r="S235" s="6">
        <f t="shared" si="60"/>
        <v>103</v>
      </c>
      <c r="T235" s="6">
        <f t="shared" si="61"/>
        <v>54</v>
      </c>
      <c r="V235" s="6">
        <f t="shared" si="62"/>
        <v>32.99397769</v>
      </c>
      <c r="X235" s="6">
        <f t="shared" si="63"/>
        <v>88</v>
      </c>
      <c r="Y235" s="6">
        <f t="shared" si="64"/>
        <v>100</v>
      </c>
      <c r="Z235" s="6">
        <f t="shared" si="65"/>
        <v>95</v>
      </c>
    </row>
    <row r="236">
      <c r="B236" s="5" t="s">
        <v>15</v>
      </c>
      <c r="C236" s="6">
        <v>1.0</v>
      </c>
      <c r="D236" s="6">
        <v>120.0</v>
      </c>
      <c r="E236" s="6">
        <v>0.0</v>
      </c>
      <c r="F236" s="6">
        <v>120.0</v>
      </c>
      <c r="G236" s="6">
        <v>120.0</v>
      </c>
      <c r="H236" s="6">
        <v>120.0</v>
      </c>
      <c r="I236" s="6">
        <v>120.0</v>
      </c>
      <c r="J236" s="6">
        <v>60.0</v>
      </c>
      <c r="K236" s="6">
        <v>120.0</v>
      </c>
      <c r="L236" s="6">
        <v>0.0</v>
      </c>
      <c r="M236" s="6">
        <v>120.0</v>
      </c>
      <c r="N236" s="6">
        <v>120.0</v>
      </c>
      <c r="O236" s="6">
        <v>120.0</v>
      </c>
      <c r="S236" s="6">
        <f t="shared" si="60"/>
        <v>120</v>
      </c>
      <c r="T236" s="6">
        <f t="shared" si="61"/>
        <v>120</v>
      </c>
      <c r="V236" s="6">
        <f t="shared" si="62"/>
        <v>52.48516274</v>
      </c>
      <c r="X236" s="6">
        <f t="shared" si="63"/>
        <v>120</v>
      </c>
      <c r="Y236" s="6">
        <f t="shared" si="64"/>
        <v>120</v>
      </c>
      <c r="Z236" s="6">
        <f t="shared" si="65"/>
        <v>90</v>
      </c>
    </row>
    <row r="237">
      <c r="B237" s="8" t="s">
        <v>16</v>
      </c>
      <c r="C237" s="6">
        <v>1.0</v>
      </c>
      <c r="D237" s="6">
        <v>75.0</v>
      </c>
      <c r="E237" s="6">
        <v>73.0</v>
      </c>
      <c r="F237" s="6">
        <v>87.0</v>
      </c>
      <c r="G237" s="6">
        <v>95.0</v>
      </c>
      <c r="H237" s="6">
        <v>27.0</v>
      </c>
      <c r="I237" s="6">
        <v>90.0</v>
      </c>
      <c r="J237" s="6">
        <v>77.0</v>
      </c>
      <c r="K237" s="6">
        <v>103.0</v>
      </c>
      <c r="L237" s="6">
        <v>68.0</v>
      </c>
      <c r="M237" s="6">
        <v>84.0</v>
      </c>
      <c r="N237" s="6">
        <v>92.0</v>
      </c>
      <c r="O237" s="6">
        <v>60.0</v>
      </c>
      <c r="S237" s="6">
        <f t="shared" si="60"/>
        <v>47</v>
      </c>
      <c r="T237" s="6">
        <f t="shared" si="61"/>
        <v>52</v>
      </c>
      <c r="V237" s="6">
        <f t="shared" si="62"/>
        <v>28.63967125</v>
      </c>
      <c r="X237" s="6">
        <f t="shared" si="63"/>
        <v>78.42857143</v>
      </c>
      <c r="Y237" s="6">
        <f t="shared" si="64"/>
        <v>78.66666667</v>
      </c>
      <c r="Z237" s="6">
        <f t="shared" si="65"/>
        <v>52</v>
      </c>
    </row>
    <row r="238">
      <c r="B238" s="8" t="s">
        <v>17</v>
      </c>
      <c r="C238" s="6">
        <v>1.0</v>
      </c>
      <c r="D238" s="6">
        <v>27.0</v>
      </c>
      <c r="E238" s="6">
        <v>25.0</v>
      </c>
      <c r="F238" s="6">
        <v>90.0</v>
      </c>
      <c r="G238" s="6">
        <v>84.0</v>
      </c>
      <c r="H238" s="6">
        <v>95.0</v>
      </c>
      <c r="I238" s="6">
        <v>94.0</v>
      </c>
      <c r="J238" s="6">
        <v>60.0</v>
      </c>
      <c r="K238" s="6">
        <v>87.0</v>
      </c>
      <c r="L238" s="6">
        <v>17.0</v>
      </c>
      <c r="M238" s="6">
        <v>13.0</v>
      </c>
      <c r="N238" s="6">
        <v>102.0</v>
      </c>
      <c r="O238" s="6">
        <v>107.0</v>
      </c>
      <c r="S238" s="6">
        <f t="shared" si="60"/>
        <v>95</v>
      </c>
      <c r="T238" s="6">
        <f t="shared" si="61"/>
        <v>103</v>
      </c>
      <c r="V238" s="6">
        <f t="shared" si="62"/>
        <v>39.13094388</v>
      </c>
      <c r="X238" s="6">
        <f t="shared" si="63"/>
        <v>82.85714286</v>
      </c>
      <c r="Y238" s="6">
        <f t="shared" si="64"/>
        <v>74</v>
      </c>
      <c r="Z238" s="6">
        <f t="shared" si="65"/>
        <v>77.5</v>
      </c>
    </row>
    <row r="239">
      <c r="B239" s="8" t="s">
        <v>18</v>
      </c>
      <c r="C239" s="6">
        <v>1.0</v>
      </c>
      <c r="D239" s="6">
        <v>7.0</v>
      </c>
      <c r="E239" s="6">
        <v>7.0</v>
      </c>
      <c r="F239" s="6">
        <v>60.0</v>
      </c>
      <c r="G239" s="6">
        <v>30.0</v>
      </c>
      <c r="H239" s="6">
        <v>20.0</v>
      </c>
      <c r="I239" s="6">
        <v>45.0</v>
      </c>
      <c r="J239" s="6">
        <v>60.0</v>
      </c>
      <c r="K239" s="6">
        <v>81.0</v>
      </c>
      <c r="L239" s="6">
        <v>60.0</v>
      </c>
      <c r="M239" s="6">
        <v>85.0</v>
      </c>
      <c r="N239" s="6">
        <v>89.0</v>
      </c>
      <c r="O239" s="6">
        <v>92.0</v>
      </c>
      <c r="S239" s="6">
        <f t="shared" si="60"/>
        <v>113</v>
      </c>
      <c r="T239" s="6">
        <f t="shared" si="61"/>
        <v>60</v>
      </c>
      <c r="V239" s="6">
        <f t="shared" si="62"/>
        <v>33.14362684</v>
      </c>
      <c r="X239" s="6">
        <f t="shared" si="63"/>
        <v>56.57142857</v>
      </c>
      <c r="Y239" s="6">
        <f t="shared" si="64"/>
        <v>88.66666667</v>
      </c>
      <c r="Z239" s="6">
        <f t="shared" si="65"/>
        <v>40</v>
      </c>
    </row>
    <row r="240">
      <c r="B240" s="8" t="s">
        <v>19</v>
      </c>
      <c r="C240" s="6">
        <v>1.0</v>
      </c>
      <c r="D240" s="6">
        <v>91.0</v>
      </c>
      <c r="E240" s="6">
        <v>60.0</v>
      </c>
      <c r="F240" s="6">
        <v>120.0</v>
      </c>
      <c r="G240" s="6">
        <v>120.0</v>
      </c>
      <c r="H240" s="6">
        <v>120.0</v>
      </c>
      <c r="I240" s="6">
        <v>120.0</v>
      </c>
      <c r="J240" s="6">
        <v>71.0</v>
      </c>
      <c r="K240" s="6">
        <v>74.0</v>
      </c>
      <c r="L240" s="6">
        <v>102.0</v>
      </c>
      <c r="M240" s="6">
        <v>120.0</v>
      </c>
      <c r="N240" s="6">
        <v>120.0</v>
      </c>
      <c r="O240" s="6">
        <v>120.0</v>
      </c>
      <c r="S240" s="6">
        <f t="shared" si="60"/>
        <v>60</v>
      </c>
      <c r="T240" s="6">
        <f t="shared" si="61"/>
        <v>18</v>
      </c>
      <c r="V240" s="6">
        <f t="shared" si="62"/>
        <v>35.95920053</v>
      </c>
      <c r="X240" s="6">
        <f t="shared" si="63"/>
        <v>86.14285714</v>
      </c>
      <c r="Y240" s="6">
        <f t="shared" si="64"/>
        <v>120</v>
      </c>
      <c r="Z240" s="6">
        <f t="shared" si="65"/>
        <v>95.5</v>
      </c>
    </row>
    <row r="241">
      <c r="B241" s="8" t="s">
        <v>20</v>
      </c>
      <c r="C241" s="6">
        <v>1.0</v>
      </c>
      <c r="D241" s="6">
        <v>92.0</v>
      </c>
      <c r="E241" s="6">
        <v>12.0</v>
      </c>
      <c r="F241" s="6">
        <v>98.0</v>
      </c>
      <c r="G241" s="6">
        <v>96.0</v>
      </c>
      <c r="H241" s="6">
        <v>14.0</v>
      </c>
      <c r="I241" s="6">
        <v>91.0</v>
      </c>
      <c r="J241" s="6">
        <v>60.0</v>
      </c>
      <c r="K241" s="6">
        <v>95.0</v>
      </c>
      <c r="L241" s="6">
        <v>30.0</v>
      </c>
      <c r="M241" s="6">
        <v>100.0</v>
      </c>
      <c r="N241" s="6">
        <v>106.0</v>
      </c>
      <c r="O241" s="6">
        <v>100.0</v>
      </c>
      <c r="S241" s="6">
        <f t="shared" si="60"/>
        <v>108</v>
      </c>
      <c r="T241" s="6">
        <f t="shared" si="61"/>
        <v>90</v>
      </c>
      <c r="V241" s="6">
        <f t="shared" si="62"/>
        <v>39.84312185</v>
      </c>
      <c r="X241" s="6">
        <f t="shared" si="63"/>
        <v>95.71428571</v>
      </c>
      <c r="Y241" s="6">
        <f t="shared" si="64"/>
        <v>102</v>
      </c>
      <c r="Z241" s="6">
        <f t="shared" si="65"/>
        <v>37</v>
      </c>
    </row>
    <row r="242">
      <c r="B242" s="8" t="s">
        <v>21</v>
      </c>
      <c r="C242" s="6">
        <v>1.0</v>
      </c>
      <c r="D242" s="6">
        <v>120.0</v>
      </c>
      <c r="E242" s="6">
        <v>0.0</v>
      </c>
      <c r="F242" s="6">
        <v>120.0</v>
      </c>
      <c r="G242" s="6">
        <v>120.0</v>
      </c>
      <c r="H242" s="6">
        <v>0.0</v>
      </c>
      <c r="I242" s="6">
        <v>120.0</v>
      </c>
      <c r="J242" s="6">
        <v>0.0</v>
      </c>
      <c r="K242" s="6">
        <v>120.0</v>
      </c>
      <c r="L242" s="6">
        <v>38.0</v>
      </c>
      <c r="M242" s="6">
        <v>120.0</v>
      </c>
      <c r="N242" s="6">
        <v>120.0</v>
      </c>
      <c r="O242" s="6">
        <v>95.0</v>
      </c>
      <c r="S242" s="6">
        <f t="shared" si="60"/>
        <v>120</v>
      </c>
      <c r="T242" s="6">
        <f t="shared" si="61"/>
        <v>82</v>
      </c>
      <c r="V242" s="6">
        <f t="shared" si="62"/>
        <v>56.49109301</v>
      </c>
      <c r="X242" s="6">
        <f t="shared" si="63"/>
        <v>114.5714286</v>
      </c>
      <c r="Y242" s="6">
        <f t="shared" si="64"/>
        <v>111.6666667</v>
      </c>
      <c r="Z242" s="6">
        <f t="shared" si="65"/>
        <v>0</v>
      </c>
    </row>
    <row r="243">
      <c r="B243" s="8" t="s">
        <v>22</v>
      </c>
      <c r="C243" s="6">
        <v>1.0</v>
      </c>
      <c r="D243" s="6">
        <v>60.0</v>
      </c>
      <c r="E243" s="6">
        <v>65.0</v>
      </c>
      <c r="F243" s="6">
        <v>115.0</v>
      </c>
      <c r="G243" s="6">
        <v>116.0</v>
      </c>
      <c r="H243" s="6">
        <v>115.0</v>
      </c>
      <c r="I243" s="6">
        <v>115.0</v>
      </c>
      <c r="J243" s="6">
        <v>105.0</v>
      </c>
      <c r="K243" s="6">
        <v>116.0</v>
      </c>
      <c r="L243" s="6">
        <v>61.0</v>
      </c>
      <c r="M243" s="6">
        <v>112.0</v>
      </c>
      <c r="N243" s="6">
        <v>103.0</v>
      </c>
      <c r="O243" s="6">
        <v>114.0</v>
      </c>
      <c r="S243" s="6">
        <f t="shared" si="60"/>
        <v>55</v>
      </c>
      <c r="T243" s="6">
        <f t="shared" si="61"/>
        <v>59</v>
      </c>
      <c r="V243" s="6">
        <f t="shared" si="62"/>
        <v>35.24638552</v>
      </c>
      <c r="X243" s="6">
        <f t="shared" si="63"/>
        <v>90.85714286</v>
      </c>
      <c r="Y243" s="6">
        <f t="shared" si="64"/>
        <v>109.6666667</v>
      </c>
      <c r="Z243" s="6">
        <f t="shared" si="65"/>
        <v>110</v>
      </c>
    </row>
    <row r="244">
      <c r="B244" s="8" t="s">
        <v>23</v>
      </c>
      <c r="C244" s="6">
        <v>1.0</v>
      </c>
      <c r="D244" s="6">
        <v>60.0</v>
      </c>
      <c r="E244" s="6">
        <v>73.0</v>
      </c>
      <c r="F244" s="6">
        <v>98.0</v>
      </c>
      <c r="G244" s="6">
        <v>103.0</v>
      </c>
      <c r="H244" s="6">
        <v>98.0</v>
      </c>
      <c r="I244" s="6">
        <v>76.0</v>
      </c>
      <c r="J244" s="6">
        <v>60.0</v>
      </c>
      <c r="K244" s="6">
        <v>60.0</v>
      </c>
      <c r="L244" s="6">
        <v>73.0</v>
      </c>
      <c r="M244" s="6">
        <v>107.0</v>
      </c>
      <c r="N244" s="6">
        <v>114.0</v>
      </c>
      <c r="O244" s="6">
        <v>117.0</v>
      </c>
      <c r="S244" s="6">
        <f t="shared" si="60"/>
        <v>47</v>
      </c>
      <c r="T244" s="6">
        <f t="shared" si="61"/>
        <v>47</v>
      </c>
      <c r="V244" s="6">
        <f t="shared" si="62"/>
        <v>31.6043246</v>
      </c>
      <c r="X244" s="6">
        <f t="shared" si="63"/>
        <v>70.14285714</v>
      </c>
      <c r="Y244" s="6">
        <f t="shared" si="64"/>
        <v>112.6666667</v>
      </c>
      <c r="Z244" s="6">
        <f t="shared" si="65"/>
        <v>79</v>
      </c>
    </row>
    <row r="245">
      <c r="B245" s="8" t="s">
        <v>24</v>
      </c>
      <c r="C245" s="6">
        <v>1.0</v>
      </c>
      <c r="D245" s="6">
        <v>101.0</v>
      </c>
      <c r="E245" s="6">
        <v>1205.0</v>
      </c>
      <c r="F245" s="6">
        <v>113.0</v>
      </c>
      <c r="G245" s="6">
        <v>104.0</v>
      </c>
      <c r="H245" s="6">
        <v>102.0</v>
      </c>
      <c r="I245" s="6">
        <v>104.0</v>
      </c>
      <c r="J245" s="6">
        <v>78.0</v>
      </c>
      <c r="K245" s="6">
        <v>97.0</v>
      </c>
      <c r="L245" s="6">
        <v>16.0</v>
      </c>
      <c r="M245" s="6">
        <v>98.0</v>
      </c>
      <c r="N245" s="6">
        <v>87.0</v>
      </c>
      <c r="O245" s="6">
        <v>103.0</v>
      </c>
      <c r="S245" s="6">
        <f t="shared" si="60"/>
        <v>-1085</v>
      </c>
      <c r="T245" s="6">
        <f t="shared" si="61"/>
        <v>104</v>
      </c>
      <c r="V245" s="6">
        <f t="shared" si="62"/>
        <v>312.9434085</v>
      </c>
      <c r="X245" s="6">
        <f t="shared" si="63"/>
        <v>-66</v>
      </c>
      <c r="Y245" s="6">
        <f t="shared" si="64"/>
        <v>96</v>
      </c>
      <c r="Z245" s="6">
        <f t="shared" si="65"/>
        <v>90</v>
      </c>
    </row>
    <row r="246">
      <c r="B246" s="8" t="s">
        <v>25</v>
      </c>
      <c r="C246" s="6">
        <v>1.0</v>
      </c>
      <c r="D246" s="6">
        <v>109.0</v>
      </c>
      <c r="E246" s="6">
        <v>11.0</v>
      </c>
      <c r="F246" s="6">
        <v>115.0</v>
      </c>
      <c r="G246" s="6">
        <v>117.0</v>
      </c>
      <c r="H246" s="6">
        <v>7.0</v>
      </c>
      <c r="I246" s="6">
        <v>105.0</v>
      </c>
      <c r="J246" s="6">
        <v>84.0</v>
      </c>
      <c r="K246" s="6">
        <v>103.0</v>
      </c>
      <c r="L246" s="6">
        <v>8.0</v>
      </c>
      <c r="M246" s="6">
        <v>108.0</v>
      </c>
      <c r="N246" s="6">
        <v>103.0</v>
      </c>
      <c r="O246" s="6">
        <v>104.0</v>
      </c>
      <c r="S246" s="6">
        <f t="shared" si="60"/>
        <v>109</v>
      </c>
      <c r="T246" s="6">
        <f t="shared" si="61"/>
        <v>112</v>
      </c>
      <c r="V246" s="6">
        <f t="shared" si="62"/>
        <v>48.03123983</v>
      </c>
      <c r="X246" s="6">
        <f t="shared" si="63"/>
        <v>110</v>
      </c>
      <c r="Y246" s="6">
        <f t="shared" si="64"/>
        <v>105</v>
      </c>
      <c r="Z246" s="6">
        <f t="shared" si="65"/>
        <v>45.5</v>
      </c>
    </row>
    <row r="247">
      <c r="B247" s="8" t="s">
        <v>26</v>
      </c>
      <c r="C247" s="6">
        <v>1.0</v>
      </c>
      <c r="D247" s="6">
        <v>100.0</v>
      </c>
      <c r="E247" s="6">
        <v>60.0</v>
      </c>
      <c r="F247" s="6">
        <v>114.0</v>
      </c>
      <c r="G247" s="6">
        <v>112.0</v>
      </c>
      <c r="H247" s="6">
        <v>60.0</v>
      </c>
      <c r="I247" s="6">
        <v>115.0</v>
      </c>
      <c r="J247" s="6">
        <v>66.0</v>
      </c>
      <c r="K247" s="6">
        <v>64.0</v>
      </c>
      <c r="L247" s="6">
        <v>60.0</v>
      </c>
      <c r="M247" s="6">
        <v>104.0</v>
      </c>
      <c r="N247" s="6">
        <v>110.0</v>
      </c>
      <c r="O247" s="6">
        <v>109.0</v>
      </c>
      <c r="S247" s="6">
        <f t="shared" si="60"/>
        <v>60</v>
      </c>
      <c r="T247" s="6">
        <f t="shared" si="61"/>
        <v>60</v>
      </c>
      <c r="V247" s="6">
        <f t="shared" si="62"/>
        <v>34.05971378</v>
      </c>
      <c r="X247" s="6">
        <f t="shared" si="63"/>
        <v>89.28571429</v>
      </c>
      <c r="Y247" s="6">
        <f t="shared" si="64"/>
        <v>107.6666667</v>
      </c>
      <c r="Z247" s="6">
        <f t="shared" si="65"/>
        <v>63</v>
      </c>
    </row>
    <row r="248">
      <c r="B248" s="9" t="s">
        <v>27</v>
      </c>
      <c r="C248" s="6">
        <v>1.0</v>
      </c>
      <c r="D248" s="6">
        <v>115.0</v>
      </c>
      <c r="E248" s="6">
        <v>5.0</v>
      </c>
      <c r="F248" s="6">
        <v>120.0</v>
      </c>
      <c r="G248" s="6">
        <v>120.0</v>
      </c>
      <c r="H248" s="6">
        <v>118.0</v>
      </c>
      <c r="I248" s="6">
        <v>118.0</v>
      </c>
      <c r="J248" s="6">
        <v>7.0</v>
      </c>
      <c r="K248" s="6">
        <v>104.0</v>
      </c>
      <c r="L248" s="6">
        <v>10.0</v>
      </c>
      <c r="M248" s="6">
        <v>117.0</v>
      </c>
      <c r="N248" s="6">
        <v>119.0</v>
      </c>
      <c r="O248" s="6">
        <v>117.0</v>
      </c>
      <c r="S248" s="6">
        <f t="shared" si="60"/>
        <v>115</v>
      </c>
      <c r="T248" s="6">
        <f t="shared" si="61"/>
        <v>110</v>
      </c>
      <c r="V248" s="6">
        <f t="shared" si="62"/>
        <v>53.36125071</v>
      </c>
      <c r="X248" s="6">
        <f t="shared" si="63"/>
        <v>114.5714286</v>
      </c>
      <c r="Y248" s="6">
        <f t="shared" si="64"/>
        <v>117.6666667</v>
      </c>
      <c r="Z248" s="6">
        <f t="shared" si="65"/>
        <v>62.5</v>
      </c>
    </row>
    <row r="249">
      <c r="B249" s="9" t="s">
        <v>28</v>
      </c>
      <c r="C249" s="6">
        <v>1.0</v>
      </c>
      <c r="D249" s="6">
        <v>120.0</v>
      </c>
      <c r="E249" s="6">
        <v>17.0</v>
      </c>
      <c r="F249" s="6">
        <v>120.0</v>
      </c>
      <c r="G249" s="6">
        <v>60.0</v>
      </c>
      <c r="H249" s="6">
        <v>120.0</v>
      </c>
      <c r="I249" s="6">
        <v>93.0</v>
      </c>
      <c r="J249" s="6">
        <v>60.0</v>
      </c>
      <c r="K249" s="6">
        <v>90.0</v>
      </c>
      <c r="L249" s="6">
        <v>25.0</v>
      </c>
      <c r="M249" s="6">
        <v>120.0</v>
      </c>
      <c r="N249" s="6">
        <v>120.0</v>
      </c>
      <c r="O249" s="6">
        <v>110.0</v>
      </c>
      <c r="S249" s="6">
        <f t="shared" si="60"/>
        <v>103</v>
      </c>
      <c r="T249" s="6">
        <f t="shared" si="61"/>
        <v>95</v>
      </c>
      <c r="V249" s="6">
        <f t="shared" si="62"/>
        <v>43.95481363</v>
      </c>
      <c r="X249" s="6">
        <f t="shared" si="63"/>
        <v>97.28571429</v>
      </c>
      <c r="Y249" s="6">
        <f t="shared" si="64"/>
        <v>116.6666667</v>
      </c>
      <c r="Z249" s="6">
        <f t="shared" si="65"/>
        <v>90</v>
      </c>
    </row>
    <row r="250">
      <c r="B250" s="8" t="s">
        <v>29</v>
      </c>
      <c r="C250" s="6">
        <v>1.0</v>
      </c>
      <c r="D250" s="6">
        <v>60.0</v>
      </c>
      <c r="E250" s="6">
        <v>80.0</v>
      </c>
      <c r="F250" s="6">
        <v>100.0</v>
      </c>
      <c r="G250" s="6">
        <v>103.0</v>
      </c>
      <c r="H250" s="6">
        <v>22.0</v>
      </c>
      <c r="I250" s="6">
        <v>91.0</v>
      </c>
      <c r="J250" s="6">
        <v>19.0</v>
      </c>
      <c r="K250" s="6">
        <v>117.0</v>
      </c>
      <c r="L250" s="6">
        <v>60.0</v>
      </c>
      <c r="M250" s="6">
        <v>94.0</v>
      </c>
      <c r="N250" s="6">
        <v>120.0</v>
      </c>
      <c r="O250" s="6">
        <v>120.0</v>
      </c>
      <c r="S250" s="6">
        <f t="shared" si="60"/>
        <v>40</v>
      </c>
      <c r="T250" s="6">
        <f t="shared" si="61"/>
        <v>60</v>
      </c>
      <c r="V250" s="6">
        <f t="shared" si="62"/>
        <v>40.5431078</v>
      </c>
      <c r="X250" s="6">
        <f t="shared" si="63"/>
        <v>81.57142857</v>
      </c>
      <c r="Y250" s="6">
        <f t="shared" si="64"/>
        <v>111.3333333</v>
      </c>
      <c r="Z250" s="6">
        <f t="shared" si="65"/>
        <v>20.5</v>
      </c>
    </row>
    <row r="251">
      <c r="B251" s="8" t="s">
        <v>30</v>
      </c>
      <c r="C251" s="6">
        <v>1.0</v>
      </c>
      <c r="D251" s="6">
        <v>60.0</v>
      </c>
      <c r="E251" s="6">
        <v>60.0</v>
      </c>
      <c r="F251" s="6">
        <v>60.0</v>
      </c>
      <c r="G251" s="6">
        <v>60.0</v>
      </c>
      <c r="H251" s="6">
        <v>60.0</v>
      </c>
      <c r="I251" s="6">
        <v>60.0</v>
      </c>
      <c r="J251" s="6">
        <v>90.0</v>
      </c>
      <c r="K251" s="6">
        <v>60.0</v>
      </c>
      <c r="L251" s="6">
        <v>60.0</v>
      </c>
      <c r="M251" s="6">
        <v>90.0</v>
      </c>
      <c r="N251" s="6">
        <v>90.0</v>
      </c>
      <c r="O251" s="6">
        <v>60.0</v>
      </c>
      <c r="S251" s="6">
        <f t="shared" si="60"/>
        <v>60</v>
      </c>
      <c r="T251" s="6">
        <f t="shared" si="61"/>
        <v>60</v>
      </c>
      <c r="V251" s="6">
        <f t="shared" si="62"/>
        <v>22.5593235</v>
      </c>
      <c r="X251" s="6">
        <f t="shared" si="63"/>
        <v>60</v>
      </c>
      <c r="Y251" s="6">
        <f t="shared" si="64"/>
        <v>80</v>
      </c>
      <c r="Z251" s="6">
        <f t="shared" si="65"/>
        <v>75</v>
      </c>
    </row>
    <row r="252">
      <c r="B252" s="8" t="s">
        <v>31</v>
      </c>
      <c r="C252" s="6">
        <v>1.0</v>
      </c>
      <c r="D252" s="6">
        <v>0.0</v>
      </c>
      <c r="E252" s="6">
        <v>60.0</v>
      </c>
      <c r="F252" s="6">
        <v>60.0</v>
      </c>
      <c r="G252" s="6">
        <v>32.0</v>
      </c>
      <c r="H252" s="6">
        <v>16.0</v>
      </c>
      <c r="I252" s="6">
        <v>23.0</v>
      </c>
      <c r="J252" s="6">
        <v>23.0</v>
      </c>
      <c r="K252" s="6">
        <v>60.0</v>
      </c>
      <c r="L252" s="6">
        <v>85.0</v>
      </c>
      <c r="M252" s="6">
        <v>112.0</v>
      </c>
      <c r="N252" s="6">
        <v>94.0</v>
      </c>
      <c r="O252" s="6">
        <v>60.0</v>
      </c>
      <c r="S252" s="6">
        <f t="shared" si="60"/>
        <v>60</v>
      </c>
      <c r="T252" s="6">
        <f t="shared" si="61"/>
        <v>35</v>
      </c>
      <c r="V252" s="6">
        <f t="shared" si="62"/>
        <v>35.58990061</v>
      </c>
      <c r="X252" s="6">
        <f t="shared" si="63"/>
        <v>38.57142857</v>
      </c>
      <c r="Y252" s="6">
        <f t="shared" si="64"/>
        <v>88.66666667</v>
      </c>
      <c r="Z252" s="6">
        <f t="shared" si="65"/>
        <v>19.5</v>
      </c>
    </row>
    <row r="253">
      <c r="B253" s="8" t="s">
        <v>32</v>
      </c>
      <c r="C253" s="6">
        <v>1.0</v>
      </c>
      <c r="D253" s="6">
        <v>73.0</v>
      </c>
      <c r="E253" s="6">
        <v>86.0</v>
      </c>
      <c r="F253" s="6">
        <v>110.0</v>
      </c>
      <c r="G253" s="6">
        <v>112.0</v>
      </c>
      <c r="H253" s="6">
        <v>115.0</v>
      </c>
      <c r="I253" s="6">
        <v>42.0</v>
      </c>
      <c r="J253" s="6">
        <v>6.0</v>
      </c>
      <c r="K253" s="6">
        <v>112.0</v>
      </c>
      <c r="L253" s="6">
        <v>10.0</v>
      </c>
      <c r="M253" s="6">
        <v>92.0</v>
      </c>
      <c r="N253" s="6">
        <v>113.0</v>
      </c>
      <c r="O253" s="6">
        <v>116.0</v>
      </c>
      <c r="S253" s="6">
        <f t="shared" si="60"/>
        <v>34</v>
      </c>
      <c r="T253" s="6">
        <f t="shared" si="61"/>
        <v>110</v>
      </c>
      <c r="V253" s="6">
        <f t="shared" si="62"/>
        <v>45.31372125</v>
      </c>
      <c r="X253" s="6">
        <f t="shared" si="63"/>
        <v>84.71428571</v>
      </c>
      <c r="Y253" s="6">
        <f t="shared" si="64"/>
        <v>107</v>
      </c>
      <c r="Z253" s="6">
        <f t="shared" si="65"/>
        <v>60.5</v>
      </c>
    </row>
    <row r="254">
      <c r="B254" s="8" t="s">
        <v>33</v>
      </c>
      <c r="C254" s="6">
        <v>1.0</v>
      </c>
      <c r="D254" s="6">
        <v>115.0</v>
      </c>
      <c r="E254" s="6">
        <v>2.0</v>
      </c>
      <c r="F254" s="6">
        <v>114.0</v>
      </c>
      <c r="G254" s="6">
        <v>111.0</v>
      </c>
      <c r="H254" s="6">
        <v>60.0</v>
      </c>
      <c r="I254" s="6">
        <v>102.0</v>
      </c>
      <c r="J254" s="6">
        <v>68.0</v>
      </c>
      <c r="K254" s="6">
        <v>110.0</v>
      </c>
      <c r="L254" s="6">
        <v>60.0</v>
      </c>
      <c r="M254" s="6">
        <v>111.0</v>
      </c>
      <c r="N254" s="6">
        <v>116.0</v>
      </c>
      <c r="O254" s="6">
        <v>105.0</v>
      </c>
      <c r="S254" s="6">
        <f t="shared" si="60"/>
        <v>118</v>
      </c>
      <c r="T254" s="6">
        <f t="shared" si="61"/>
        <v>60</v>
      </c>
      <c r="V254" s="6">
        <f t="shared" si="62"/>
        <v>41.61607185</v>
      </c>
      <c r="X254" s="6">
        <f t="shared" si="63"/>
        <v>104.2857143</v>
      </c>
      <c r="Y254" s="6">
        <f t="shared" si="64"/>
        <v>110.6666667</v>
      </c>
      <c r="Z254" s="6">
        <f t="shared" si="65"/>
        <v>64</v>
      </c>
    </row>
    <row r="255">
      <c r="B255" s="8" t="s">
        <v>34</v>
      </c>
      <c r="C255" s="6">
        <v>1.0</v>
      </c>
      <c r="D255" s="6">
        <v>69.0</v>
      </c>
      <c r="E255" s="6">
        <v>60.0</v>
      </c>
      <c r="F255" s="6">
        <v>94.0</v>
      </c>
      <c r="G255" s="6">
        <v>106.0</v>
      </c>
      <c r="H255" s="6">
        <v>28.0</v>
      </c>
      <c r="I255" s="6">
        <v>105.0</v>
      </c>
      <c r="J255" s="6">
        <v>41.0</v>
      </c>
      <c r="K255" s="6">
        <v>98.0</v>
      </c>
      <c r="L255" s="6">
        <v>38.0</v>
      </c>
      <c r="M255" s="6">
        <v>85.0</v>
      </c>
      <c r="N255" s="6">
        <v>118.0</v>
      </c>
      <c r="O255" s="6">
        <v>115.0</v>
      </c>
      <c r="S255" s="6">
        <f t="shared" si="60"/>
        <v>60</v>
      </c>
      <c r="T255" s="6">
        <f t="shared" si="61"/>
        <v>82</v>
      </c>
      <c r="V255" s="6">
        <f t="shared" si="62"/>
        <v>37.35948031</v>
      </c>
      <c r="X255" s="6">
        <f t="shared" si="63"/>
        <v>87.71428571</v>
      </c>
      <c r="Y255" s="6">
        <f t="shared" si="64"/>
        <v>106</v>
      </c>
      <c r="Z255" s="6">
        <f t="shared" si="65"/>
        <v>34.5</v>
      </c>
    </row>
    <row r="256">
      <c r="B256" s="8" t="s">
        <v>35</v>
      </c>
      <c r="C256" s="6">
        <v>1.0</v>
      </c>
      <c r="D256" s="6">
        <v>120.0</v>
      </c>
      <c r="E256" s="6">
        <v>13.0</v>
      </c>
      <c r="F256" s="6">
        <v>120.0</v>
      </c>
      <c r="G256" s="6">
        <v>120.0</v>
      </c>
      <c r="H256" s="6">
        <v>0.0</v>
      </c>
      <c r="I256" s="6">
        <v>120.0</v>
      </c>
      <c r="J256" s="6">
        <v>0.0</v>
      </c>
      <c r="K256" s="6">
        <v>120.0</v>
      </c>
      <c r="L256" s="6">
        <v>0.0</v>
      </c>
      <c r="M256" s="6">
        <v>120.0</v>
      </c>
      <c r="N256" s="6">
        <v>120.0</v>
      </c>
      <c r="O256" s="6">
        <v>120.0</v>
      </c>
      <c r="S256" s="6">
        <f t="shared" si="60"/>
        <v>107</v>
      </c>
      <c r="T256" s="6">
        <f t="shared" si="61"/>
        <v>120</v>
      </c>
      <c r="V256" s="6">
        <f t="shared" si="62"/>
        <v>59.43828948</v>
      </c>
      <c r="X256" s="6">
        <f t="shared" si="63"/>
        <v>118.1428571</v>
      </c>
      <c r="Y256" s="6">
        <f t="shared" si="64"/>
        <v>120</v>
      </c>
      <c r="Z256" s="6">
        <f t="shared" si="65"/>
        <v>0</v>
      </c>
    </row>
    <row r="257">
      <c r="B257" s="8" t="s">
        <v>36</v>
      </c>
      <c r="C257" s="6">
        <v>1.0</v>
      </c>
      <c r="D257" s="6">
        <v>113.0</v>
      </c>
      <c r="E257" s="6">
        <v>0.0</v>
      </c>
      <c r="F257" s="6">
        <v>120.0</v>
      </c>
      <c r="G257" s="6">
        <v>120.0</v>
      </c>
      <c r="H257" s="6">
        <v>33.0</v>
      </c>
      <c r="I257" s="6">
        <v>114.0</v>
      </c>
      <c r="J257" s="6">
        <v>97.0</v>
      </c>
      <c r="K257" s="6">
        <v>106.0</v>
      </c>
      <c r="L257" s="6">
        <v>64.0</v>
      </c>
      <c r="M257" s="6">
        <v>120.0</v>
      </c>
      <c r="N257" s="6">
        <v>120.0</v>
      </c>
      <c r="O257" s="6">
        <v>80.0</v>
      </c>
      <c r="S257" s="6">
        <f t="shared" si="60"/>
        <v>120</v>
      </c>
      <c r="T257" s="6">
        <f t="shared" si="61"/>
        <v>56</v>
      </c>
      <c r="V257" s="6">
        <f t="shared" si="62"/>
        <v>45.22054219</v>
      </c>
      <c r="X257" s="6">
        <f t="shared" si="63"/>
        <v>107</v>
      </c>
      <c r="Y257" s="6">
        <f t="shared" si="64"/>
        <v>106.6666667</v>
      </c>
      <c r="Z257" s="6">
        <f t="shared" si="65"/>
        <v>65</v>
      </c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"/>
      <c r="W258" s="3"/>
      <c r="X258" s="3"/>
      <c r="Y258" s="3"/>
      <c r="Z258" s="3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</row>
    <row r="260">
      <c r="A260" s="1" t="s">
        <v>148</v>
      </c>
      <c r="BN260" s="10" t="s">
        <v>149</v>
      </c>
      <c r="BO260" s="10"/>
      <c r="BP260" s="10"/>
      <c r="BQ260" s="10"/>
      <c r="BR260" s="10"/>
      <c r="BT260" s="10" t="s">
        <v>150</v>
      </c>
      <c r="BU260" s="10"/>
    </row>
    <row r="261">
      <c r="B261" s="2" t="s">
        <v>37</v>
      </c>
      <c r="C261" s="3">
        <v>1.0</v>
      </c>
      <c r="D261" s="3" t="s">
        <v>38</v>
      </c>
      <c r="E261" s="3">
        <v>3.0</v>
      </c>
      <c r="F261" s="3">
        <v>4.0</v>
      </c>
      <c r="G261" s="3">
        <v>5.0</v>
      </c>
      <c r="H261" s="3" t="s">
        <v>39</v>
      </c>
      <c r="I261" s="3">
        <v>7.0</v>
      </c>
      <c r="J261" s="3" t="s">
        <v>40</v>
      </c>
      <c r="K261" s="3" t="s">
        <v>41</v>
      </c>
      <c r="L261" s="3">
        <v>10.0</v>
      </c>
      <c r="M261" s="3">
        <v>11.0</v>
      </c>
      <c r="N261" s="3" t="s">
        <v>42</v>
      </c>
      <c r="O261" s="3">
        <v>13.0</v>
      </c>
      <c r="P261" s="3">
        <v>14.0</v>
      </c>
      <c r="Q261" s="3">
        <v>15.0</v>
      </c>
      <c r="R261" s="3">
        <v>16.0</v>
      </c>
      <c r="S261" s="3">
        <v>17.0</v>
      </c>
      <c r="T261" s="3" t="s">
        <v>43</v>
      </c>
      <c r="U261" s="3">
        <v>19.0</v>
      </c>
      <c r="V261" s="3">
        <v>20.0</v>
      </c>
      <c r="W261" s="3" t="s">
        <v>44</v>
      </c>
      <c r="X261" s="3">
        <v>22.0</v>
      </c>
      <c r="Y261" s="3" t="s">
        <v>45</v>
      </c>
      <c r="Z261" s="3" t="s">
        <v>46</v>
      </c>
      <c r="AA261" s="3">
        <v>25.0</v>
      </c>
      <c r="AB261" s="3">
        <v>26.0</v>
      </c>
      <c r="AC261" s="3" t="s">
        <v>47</v>
      </c>
      <c r="AD261" s="3">
        <v>28.0</v>
      </c>
      <c r="AE261" s="3">
        <v>29.0</v>
      </c>
      <c r="AF261" s="3">
        <v>30.0</v>
      </c>
      <c r="AG261" s="3" t="s">
        <v>48</v>
      </c>
      <c r="AH261" s="3">
        <v>32.0</v>
      </c>
      <c r="AI261" s="3">
        <v>33.0</v>
      </c>
      <c r="AJ261" s="3" t="s">
        <v>49</v>
      </c>
      <c r="AK261" s="3" t="s">
        <v>50</v>
      </c>
      <c r="AL261" s="3">
        <v>36.0</v>
      </c>
      <c r="AM261" s="3" t="s">
        <v>51</v>
      </c>
      <c r="AN261" s="3">
        <v>38.0</v>
      </c>
      <c r="AO261" s="3">
        <v>39.0</v>
      </c>
      <c r="AP261" s="3">
        <v>40.0</v>
      </c>
      <c r="AQ261" s="3" t="s">
        <v>52</v>
      </c>
      <c r="AR261" s="3">
        <v>42.0</v>
      </c>
      <c r="AS261" s="3" t="s">
        <v>53</v>
      </c>
      <c r="AT261" s="3">
        <v>44.0</v>
      </c>
      <c r="AV261" s="10" t="s">
        <v>54</v>
      </c>
      <c r="AX261" s="10" t="s">
        <v>55</v>
      </c>
      <c r="AY261" s="10" t="s">
        <v>56</v>
      </c>
      <c r="BA261" s="10" t="s">
        <v>57</v>
      </c>
      <c r="BB261" s="10" t="s">
        <v>56</v>
      </c>
      <c r="BD261" s="10" t="s">
        <v>58</v>
      </c>
      <c r="BE261" s="10" t="s">
        <v>56</v>
      </c>
      <c r="BG261" s="10" t="s">
        <v>59</v>
      </c>
      <c r="BH261" s="10" t="s">
        <v>56</v>
      </c>
      <c r="BJ261" s="10" t="s">
        <v>60</v>
      </c>
      <c r="BK261" s="10" t="s">
        <v>56</v>
      </c>
      <c r="BN261" s="10" t="s">
        <v>55</v>
      </c>
      <c r="BO261" s="10" t="s">
        <v>57</v>
      </c>
      <c r="BP261" s="10" t="s">
        <v>58</v>
      </c>
      <c r="BQ261" s="10" t="s">
        <v>59</v>
      </c>
      <c r="BR261" s="10" t="s">
        <v>60</v>
      </c>
      <c r="BT261" s="10" t="s">
        <v>55</v>
      </c>
      <c r="BU261" s="10" t="s">
        <v>57</v>
      </c>
      <c r="BV261" s="10" t="s">
        <v>58</v>
      </c>
      <c r="BW261" s="10" t="s">
        <v>59</v>
      </c>
      <c r="BX261" s="10" t="s">
        <v>60</v>
      </c>
      <c r="BZ261" s="10" t="s">
        <v>54</v>
      </c>
    </row>
    <row r="262">
      <c r="B262" s="5" t="s">
        <v>2</v>
      </c>
      <c r="C262" s="6">
        <v>4.0</v>
      </c>
      <c r="D262" s="3">
        <v>5.0</v>
      </c>
      <c r="E262" s="6">
        <v>4.0</v>
      </c>
      <c r="F262" s="6">
        <v>2.0</v>
      </c>
      <c r="G262" s="6">
        <v>5.0</v>
      </c>
      <c r="H262" s="3">
        <v>3.0</v>
      </c>
      <c r="I262" s="6">
        <v>5.0</v>
      </c>
      <c r="J262" s="3">
        <v>4.0</v>
      </c>
      <c r="K262" s="3">
        <v>2.0</v>
      </c>
      <c r="L262" s="6">
        <v>5.0</v>
      </c>
      <c r="M262" s="6">
        <v>4.0</v>
      </c>
      <c r="N262" s="3">
        <v>5.0</v>
      </c>
      <c r="O262" s="6">
        <v>4.0</v>
      </c>
      <c r="P262" s="6">
        <v>2.0</v>
      </c>
      <c r="Q262" s="6">
        <v>5.0</v>
      </c>
      <c r="R262" s="6">
        <v>4.0</v>
      </c>
      <c r="S262" s="6">
        <v>5.0</v>
      </c>
      <c r="T262" s="3">
        <v>3.0</v>
      </c>
      <c r="U262" s="6">
        <v>2.0</v>
      </c>
      <c r="V262" s="6">
        <v>4.0</v>
      </c>
      <c r="W262" s="3">
        <v>3.0</v>
      </c>
      <c r="X262" s="6">
        <v>4.0</v>
      </c>
      <c r="Y262" s="3">
        <v>4.0</v>
      </c>
      <c r="Z262" s="3">
        <v>2.0</v>
      </c>
      <c r="AA262" s="6">
        <v>4.0</v>
      </c>
      <c r="AB262" s="6">
        <v>4.0</v>
      </c>
      <c r="AC262" s="3">
        <v>4.0</v>
      </c>
      <c r="AD262" s="6">
        <v>3.0</v>
      </c>
      <c r="AE262" s="6">
        <v>2.0</v>
      </c>
      <c r="AF262" s="6">
        <v>4.0</v>
      </c>
      <c r="AG262" s="3">
        <v>3.0</v>
      </c>
      <c r="AH262" s="6">
        <v>4.0</v>
      </c>
      <c r="AI262" s="6">
        <v>4.0</v>
      </c>
      <c r="AJ262" s="3">
        <v>1.0</v>
      </c>
      <c r="AK262" s="3">
        <v>1.0</v>
      </c>
      <c r="AL262" s="6">
        <v>4.0</v>
      </c>
      <c r="AM262" s="3">
        <v>4.0</v>
      </c>
      <c r="AN262" s="6">
        <v>3.0</v>
      </c>
      <c r="AO262" s="6">
        <v>2.0</v>
      </c>
      <c r="AP262" s="6">
        <v>5.0</v>
      </c>
      <c r="AQ262" s="3">
        <v>5.0</v>
      </c>
      <c r="AR262" s="6">
        <v>5.0</v>
      </c>
      <c r="AS262" s="3">
        <v>3.0</v>
      </c>
      <c r="AT262" s="6">
        <v>4.0</v>
      </c>
      <c r="AV262" s="6">
        <f t="shared" ref="AV262:AV296" si="67">STDEV(C262:AT262)</f>
        <v>1.145586254</v>
      </c>
      <c r="AX262" s="6">
        <f t="shared" ref="AX262:AX264" si="68">sum(C262,H262,M262,R262,W262,AB262,AG262,AL262)</f>
        <v>29</v>
      </c>
      <c r="AY262" s="6">
        <v>60.0</v>
      </c>
      <c r="BA262" s="6">
        <f t="shared" ref="BA262:BA264" si="69">sum(D262,I262,N262,S262,X262,AC262,AH262,AM262,AR262)</f>
        <v>41</v>
      </c>
      <c r="BB262" s="6">
        <v>90.0</v>
      </c>
      <c r="BD262" s="6">
        <f t="shared" ref="BD262:BD264" si="70">sum(E262,J262,O262,T262,Y262,AD262,AI262,AN262,AS262)</f>
        <v>32</v>
      </c>
      <c r="BE262" s="6">
        <v>45.0</v>
      </c>
      <c r="BG262" s="6">
        <f t="shared" ref="BG262:BG264" si="71">sum(F262,K262,P262,U262,Z262,AE262,AJ262,AO262)</f>
        <v>15</v>
      </c>
      <c r="BH262" s="6">
        <v>15.0</v>
      </c>
      <c r="BJ262" s="6">
        <f t="shared" ref="BJ262:BJ264" si="72">sum(G262,L262,Q262,V262,AA262,AF262,AK262,AP262,AQ262,AT262)</f>
        <v>42</v>
      </c>
      <c r="BK262" s="6">
        <v>75.0</v>
      </c>
      <c r="BN262">
        <f t="shared" ref="BN262:BN264" si="73">AX262-AX40</f>
        <v>0</v>
      </c>
      <c r="BO262">
        <f t="shared" ref="BO262:BO264" si="74">BA262-BA40</f>
        <v>1</v>
      </c>
      <c r="BP262">
        <f t="shared" ref="BP262:BP264" si="75">BD262-BD40</f>
        <v>3</v>
      </c>
      <c r="BQ262">
        <f t="shared" ref="BQ262:BQ264" si="76">BG262-BG40</f>
        <v>-1</v>
      </c>
      <c r="BR262">
        <f t="shared" ref="BR262:BR264" si="77">BJ262-BJ40</f>
        <v>-5</v>
      </c>
      <c r="BT262">
        <f t="shared" ref="BT262:BX262" si="66">SUM(BN262:BN281)</f>
        <v>16</v>
      </c>
      <c r="BU262">
        <f t="shared" si="66"/>
        <v>16</v>
      </c>
      <c r="BV262">
        <f t="shared" si="66"/>
        <v>6</v>
      </c>
      <c r="BW262">
        <f t="shared" si="66"/>
        <v>9</v>
      </c>
      <c r="BX262">
        <f t="shared" si="66"/>
        <v>3</v>
      </c>
      <c r="BZ262" s="6">
        <f t="shared" ref="BZ262:BZ296" si="78">AV262-AV40</f>
        <v>-0.05408776826</v>
      </c>
    </row>
    <row r="263">
      <c r="B263" s="5" t="s">
        <v>3</v>
      </c>
      <c r="C263" s="6">
        <v>3.0</v>
      </c>
      <c r="D263" s="12">
        <v>3.0</v>
      </c>
      <c r="E263" s="6">
        <v>4.0</v>
      </c>
      <c r="F263" s="6">
        <v>2.0</v>
      </c>
      <c r="G263" s="6">
        <v>4.0</v>
      </c>
      <c r="H263" s="12">
        <v>4.0</v>
      </c>
      <c r="I263" s="6">
        <v>4.0</v>
      </c>
      <c r="J263" s="12">
        <v>1.0</v>
      </c>
      <c r="K263" s="12">
        <v>5.0</v>
      </c>
      <c r="L263" s="6">
        <v>4.0</v>
      </c>
      <c r="M263" s="6">
        <v>3.0</v>
      </c>
      <c r="N263" s="12">
        <v>5.0</v>
      </c>
      <c r="O263" s="6">
        <v>4.0</v>
      </c>
      <c r="P263" s="6">
        <v>4.0</v>
      </c>
      <c r="Q263" s="6">
        <v>3.0</v>
      </c>
      <c r="R263" s="6">
        <v>2.0</v>
      </c>
      <c r="S263" s="6">
        <v>4.0</v>
      </c>
      <c r="T263" s="12">
        <v>1.0</v>
      </c>
      <c r="U263" s="6">
        <v>4.0</v>
      </c>
      <c r="V263" s="6">
        <v>5.0</v>
      </c>
      <c r="W263" s="12">
        <v>4.0</v>
      </c>
      <c r="X263" s="6">
        <v>4.0</v>
      </c>
      <c r="Y263" s="12">
        <v>4.0</v>
      </c>
      <c r="Z263" s="12">
        <v>4.0</v>
      </c>
      <c r="AA263" s="6">
        <v>5.0</v>
      </c>
      <c r="AB263" s="6">
        <v>2.0</v>
      </c>
      <c r="AC263" s="12">
        <v>2.0</v>
      </c>
      <c r="AD263" s="6">
        <v>5.0</v>
      </c>
      <c r="AE263" s="6">
        <v>3.0</v>
      </c>
      <c r="AF263" s="6">
        <v>4.0</v>
      </c>
      <c r="AG263" s="12">
        <v>2.0</v>
      </c>
      <c r="AH263" s="6">
        <v>3.0</v>
      </c>
      <c r="AI263" s="6">
        <v>4.0</v>
      </c>
      <c r="AJ263" s="12">
        <v>3.0</v>
      </c>
      <c r="AK263" s="12">
        <v>5.0</v>
      </c>
      <c r="AL263" s="6">
        <v>3.0</v>
      </c>
      <c r="AM263" s="12">
        <v>4.0</v>
      </c>
      <c r="AN263" s="6">
        <v>5.0</v>
      </c>
      <c r="AO263" s="6">
        <v>3.0</v>
      </c>
      <c r="AP263" s="6">
        <v>5.0</v>
      </c>
      <c r="AQ263" s="12">
        <v>5.0</v>
      </c>
      <c r="AR263" s="6">
        <v>3.0</v>
      </c>
      <c r="AS263" s="12">
        <v>1.0</v>
      </c>
      <c r="AT263" s="6">
        <v>5.0</v>
      </c>
      <c r="AV263" s="6">
        <f t="shared" si="67"/>
        <v>1.169331498</v>
      </c>
      <c r="AX263" s="6">
        <f t="shared" si="68"/>
        <v>23</v>
      </c>
      <c r="AY263" s="6">
        <v>30.0</v>
      </c>
      <c r="BA263" s="6">
        <f t="shared" si="69"/>
        <v>32</v>
      </c>
      <c r="BB263" s="6">
        <v>30.0</v>
      </c>
      <c r="BD263" s="6">
        <f t="shared" si="70"/>
        <v>29</v>
      </c>
      <c r="BE263" s="6">
        <v>30.0</v>
      </c>
      <c r="BG263" s="6">
        <f t="shared" si="71"/>
        <v>28</v>
      </c>
      <c r="BH263" s="6">
        <v>85.0</v>
      </c>
      <c r="BJ263" s="6">
        <f t="shared" si="72"/>
        <v>45</v>
      </c>
      <c r="BK263" s="6">
        <v>90.0</v>
      </c>
      <c r="BN263">
        <f t="shared" si="73"/>
        <v>-4</v>
      </c>
      <c r="BO263">
        <f t="shared" si="74"/>
        <v>3</v>
      </c>
      <c r="BP263">
        <f t="shared" si="75"/>
        <v>-2</v>
      </c>
      <c r="BQ263">
        <f t="shared" si="76"/>
        <v>5</v>
      </c>
      <c r="BR263">
        <f t="shared" si="77"/>
        <v>0</v>
      </c>
      <c r="BZ263" s="6">
        <f t="shared" si="78"/>
        <v>0.01822209655</v>
      </c>
    </row>
    <row r="264">
      <c r="B264" s="5" t="s">
        <v>4</v>
      </c>
      <c r="C264" s="6">
        <v>5.0</v>
      </c>
      <c r="D264" s="12">
        <v>4.0</v>
      </c>
      <c r="E264" s="6">
        <v>3.0</v>
      </c>
      <c r="F264" s="6">
        <v>2.0</v>
      </c>
      <c r="G264" s="6">
        <v>5.0</v>
      </c>
      <c r="H264" s="12">
        <v>5.0</v>
      </c>
      <c r="I264" s="6">
        <v>4.0</v>
      </c>
      <c r="J264" s="12">
        <v>1.0</v>
      </c>
      <c r="K264" s="12">
        <v>3.0</v>
      </c>
      <c r="L264" s="6">
        <v>5.0</v>
      </c>
      <c r="M264" s="6">
        <v>2.0</v>
      </c>
      <c r="N264" s="12">
        <v>5.0</v>
      </c>
      <c r="O264" s="6">
        <v>3.0</v>
      </c>
      <c r="P264" s="6">
        <v>2.0</v>
      </c>
      <c r="Q264" s="6">
        <v>4.0</v>
      </c>
      <c r="R264" s="6">
        <v>3.0</v>
      </c>
      <c r="S264" s="6">
        <v>4.0</v>
      </c>
      <c r="T264" s="12">
        <v>1.0</v>
      </c>
      <c r="U264" s="6">
        <v>3.0</v>
      </c>
      <c r="V264" s="6">
        <v>4.0</v>
      </c>
      <c r="W264" s="12">
        <v>5.0</v>
      </c>
      <c r="X264" s="6">
        <v>3.0</v>
      </c>
      <c r="Y264" s="12">
        <v>2.0</v>
      </c>
      <c r="Z264" s="12">
        <v>2.0</v>
      </c>
      <c r="AA264" s="6">
        <v>5.0</v>
      </c>
      <c r="AB264" s="6">
        <v>3.0</v>
      </c>
      <c r="AC264" s="12">
        <v>4.0</v>
      </c>
      <c r="AD264" s="6">
        <v>4.0</v>
      </c>
      <c r="AE264" s="6">
        <v>3.0</v>
      </c>
      <c r="AF264" s="6">
        <v>3.0</v>
      </c>
      <c r="AG264" s="12">
        <v>5.0</v>
      </c>
      <c r="AH264" s="6">
        <v>4.0</v>
      </c>
      <c r="AI264" s="6">
        <v>3.0</v>
      </c>
      <c r="AJ264" s="12">
        <v>2.0</v>
      </c>
      <c r="AK264" s="12">
        <v>5.0</v>
      </c>
      <c r="AL264" s="6">
        <v>3.0</v>
      </c>
      <c r="AM264" s="12">
        <v>3.0</v>
      </c>
      <c r="AN264" s="6">
        <v>2.0</v>
      </c>
      <c r="AO264" s="6">
        <v>2.0</v>
      </c>
      <c r="AP264" s="6">
        <v>3.0</v>
      </c>
      <c r="AQ264" s="12">
        <v>3.0</v>
      </c>
      <c r="AR264" s="6">
        <v>3.0</v>
      </c>
      <c r="AS264" s="12">
        <v>2.0</v>
      </c>
      <c r="AT264" s="6">
        <v>1.0</v>
      </c>
      <c r="AV264" s="6">
        <f t="shared" si="67"/>
        <v>1.203193425</v>
      </c>
      <c r="AX264" s="6">
        <f t="shared" si="68"/>
        <v>31</v>
      </c>
      <c r="AY264" s="6">
        <v>75.0</v>
      </c>
      <c r="BA264" s="6">
        <f t="shared" si="69"/>
        <v>34</v>
      </c>
      <c r="BB264" s="6">
        <v>50.0</v>
      </c>
      <c r="BD264" s="6">
        <f t="shared" si="70"/>
        <v>21</v>
      </c>
      <c r="BE264" s="6"/>
      <c r="BG264" s="6">
        <f t="shared" si="71"/>
        <v>19</v>
      </c>
      <c r="BH264" s="6">
        <v>40.0</v>
      </c>
      <c r="BJ264" s="6">
        <f t="shared" si="72"/>
        <v>38</v>
      </c>
      <c r="BK264" s="6">
        <v>50.0</v>
      </c>
      <c r="BN264">
        <f t="shared" si="73"/>
        <v>2</v>
      </c>
      <c r="BO264">
        <f t="shared" si="74"/>
        <v>-1</v>
      </c>
      <c r="BP264">
        <f t="shared" si="75"/>
        <v>0</v>
      </c>
      <c r="BQ264">
        <f t="shared" si="76"/>
        <v>0</v>
      </c>
      <c r="BR264">
        <f t="shared" si="77"/>
        <v>1</v>
      </c>
      <c r="BZ264" s="6">
        <f t="shared" si="78"/>
        <v>-0.1188829096</v>
      </c>
    </row>
    <row r="265">
      <c r="B265" s="5" t="s">
        <v>5</v>
      </c>
      <c r="C265" s="6">
        <v>4.0</v>
      </c>
      <c r="D265" s="12">
        <v>4.0</v>
      </c>
      <c r="E265" s="6">
        <v>4.0</v>
      </c>
      <c r="F265" s="6">
        <v>3.0</v>
      </c>
      <c r="G265" s="6">
        <v>4.0</v>
      </c>
      <c r="H265" s="12">
        <v>3.0</v>
      </c>
      <c r="I265" s="6">
        <v>4.0</v>
      </c>
      <c r="J265" s="12">
        <v>2.0</v>
      </c>
      <c r="K265" s="12">
        <v>4.0</v>
      </c>
      <c r="L265" s="6">
        <v>5.0</v>
      </c>
      <c r="M265" s="6">
        <v>4.0</v>
      </c>
      <c r="N265" s="12">
        <v>5.0</v>
      </c>
      <c r="O265" s="6">
        <v>5.0</v>
      </c>
      <c r="P265" s="6">
        <v>2.0</v>
      </c>
      <c r="Q265" s="6">
        <v>3.0</v>
      </c>
      <c r="R265" s="6">
        <v>4.0</v>
      </c>
      <c r="S265" s="6">
        <v>4.0</v>
      </c>
      <c r="T265" s="12">
        <v>2.0</v>
      </c>
      <c r="U265" s="6">
        <v>4.0</v>
      </c>
      <c r="V265" s="6">
        <v>5.0</v>
      </c>
      <c r="W265" s="12">
        <v>4.0</v>
      </c>
      <c r="X265" s="6" t="s">
        <v>151</v>
      </c>
      <c r="Y265" s="12" t="s">
        <v>151</v>
      </c>
      <c r="Z265" s="12" t="s">
        <v>151</v>
      </c>
      <c r="AA265" s="6" t="s">
        <v>151</v>
      </c>
      <c r="AB265" s="6" t="s">
        <v>151</v>
      </c>
      <c r="AC265" s="12" t="s">
        <v>151</v>
      </c>
      <c r="AD265" s="6" t="s">
        <v>151</v>
      </c>
      <c r="AE265" s="6" t="s">
        <v>151</v>
      </c>
      <c r="AF265" s="6" t="s">
        <v>151</v>
      </c>
      <c r="AG265" s="12" t="s">
        <v>151</v>
      </c>
      <c r="AH265" s="6" t="s">
        <v>151</v>
      </c>
      <c r="AI265" s="6" t="s">
        <v>151</v>
      </c>
      <c r="AJ265" s="12" t="s">
        <v>151</v>
      </c>
      <c r="AK265" s="12" t="s">
        <v>151</v>
      </c>
      <c r="AL265" s="6" t="s">
        <v>151</v>
      </c>
      <c r="AM265" s="12" t="s">
        <v>151</v>
      </c>
      <c r="AN265" s="6" t="s">
        <v>151</v>
      </c>
      <c r="AO265" s="6" t="s">
        <v>151</v>
      </c>
      <c r="AP265" s="6" t="s">
        <v>151</v>
      </c>
      <c r="AQ265" s="12" t="s">
        <v>151</v>
      </c>
      <c r="AR265" s="6" t="s">
        <v>151</v>
      </c>
      <c r="AS265" s="12" t="s">
        <v>151</v>
      </c>
      <c r="AT265" s="6" t="s">
        <v>151</v>
      </c>
      <c r="AV265" s="6">
        <f t="shared" si="67"/>
        <v>0.9436504599</v>
      </c>
      <c r="AX265" s="6"/>
      <c r="AY265" s="6"/>
      <c r="BA265" s="6"/>
      <c r="BB265" s="6"/>
      <c r="BD265" s="6"/>
      <c r="BE265" s="6"/>
      <c r="BG265" s="6"/>
      <c r="BH265" s="6"/>
      <c r="BJ265" s="6"/>
      <c r="BK265" s="6"/>
      <c r="BZ265" s="6">
        <f t="shared" si="78"/>
        <v>-0.2331154525</v>
      </c>
    </row>
    <row r="266">
      <c r="B266" s="5" t="s">
        <v>6</v>
      </c>
      <c r="C266" s="6">
        <v>3.0</v>
      </c>
      <c r="D266" s="12">
        <v>4.0</v>
      </c>
      <c r="E266" s="6">
        <v>3.0</v>
      </c>
      <c r="F266" s="6">
        <v>1.0</v>
      </c>
      <c r="G266" s="6">
        <v>4.0</v>
      </c>
      <c r="H266" s="12">
        <v>4.0</v>
      </c>
      <c r="I266" s="6">
        <v>4.0</v>
      </c>
      <c r="J266" s="12">
        <v>2.0</v>
      </c>
      <c r="K266" s="12">
        <v>2.0</v>
      </c>
      <c r="L266" s="6">
        <v>4.0</v>
      </c>
      <c r="M266" s="6">
        <v>4.0</v>
      </c>
      <c r="N266" s="12">
        <v>5.0</v>
      </c>
      <c r="O266" s="6">
        <v>4.0</v>
      </c>
      <c r="P266" s="6">
        <v>2.0</v>
      </c>
      <c r="Q266" s="6">
        <v>4.0</v>
      </c>
      <c r="R266" s="6">
        <v>3.0</v>
      </c>
      <c r="S266" s="6">
        <v>4.0</v>
      </c>
      <c r="T266" s="12">
        <v>2.0</v>
      </c>
      <c r="U266" s="6">
        <v>2.0</v>
      </c>
      <c r="V266" s="6">
        <v>4.0</v>
      </c>
      <c r="W266" s="12">
        <v>4.0</v>
      </c>
      <c r="X266" s="6">
        <v>4.0</v>
      </c>
      <c r="Y266" s="12">
        <v>4.0</v>
      </c>
      <c r="Z266" s="12">
        <v>3.0</v>
      </c>
      <c r="AA266" s="6">
        <v>4.0</v>
      </c>
      <c r="AB266" s="6">
        <v>4.0</v>
      </c>
      <c r="AC266" s="12">
        <v>4.0</v>
      </c>
      <c r="AD266" s="6">
        <v>4.0</v>
      </c>
      <c r="AE266" s="6">
        <v>2.0</v>
      </c>
      <c r="AF266" s="6">
        <v>4.0</v>
      </c>
      <c r="AG266" s="12">
        <v>3.0</v>
      </c>
      <c r="AH266" s="6">
        <v>4.0</v>
      </c>
      <c r="AI266" s="6">
        <v>3.0</v>
      </c>
      <c r="AJ266" s="12">
        <v>3.0</v>
      </c>
      <c r="AK266" s="12">
        <v>5.0</v>
      </c>
      <c r="AL266" s="6">
        <v>3.0</v>
      </c>
      <c r="AM266" s="12">
        <v>4.0</v>
      </c>
      <c r="AN266" s="6">
        <v>3.0</v>
      </c>
      <c r="AO266" s="6">
        <v>2.0</v>
      </c>
      <c r="AP266" s="6">
        <v>3.0</v>
      </c>
      <c r="AQ266" s="12">
        <v>5.0</v>
      </c>
      <c r="AR266" s="6">
        <v>4.0</v>
      </c>
      <c r="AS266" s="12">
        <v>2.0</v>
      </c>
      <c r="AT266" s="6">
        <v>3.0</v>
      </c>
      <c r="AV266" s="6">
        <f t="shared" si="67"/>
        <v>0.9453905085</v>
      </c>
      <c r="AX266" s="6">
        <f t="shared" ref="AX266:AX296" si="79">sum(C266,H266,M266,R266,W266,AB266,AG266,AL266)</f>
        <v>28</v>
      </c>
      <c r="AY266" s="6">
        <v>55.0</v>
      </c>
      <c r="BA266" s="6">
        <f t="shared" ref="BA266:BA296" si="80">sum(D266,I266,N266,S266,X266,AC266,AH266,AM266,AR266)</f>
        <v>37</v>
      </c>
      <c r="BB266" s="6">
        <v>65.0</v>
      </c>
      <c r="BD266" s="6">
        <f t="shared" ref="BD266:BD296" si="81">sum(E266,J266,O266,T266,Y266,AD266,AI266,AN266,AS266)</f>
        <v>27</v>
      </c>
      <c r="BE266" s="6">
        <v>20.0</v>
      </c>
      <c r="BG266" s="6">
        <f t="shared" ref="BG266:BG296" si="82">sum(F266,K266,P266,U266,Z266,AE266,AJ266,AO266)</f>
        <v>17</v>
      </c>
      <c r="BH266" s="6">
        <v>25.0</v>
      </c>
      <c r="BJ266" s="6">
        <f t="shared" ref="BJ266:BJ296" si="83">sum(G266,L266,Q266,V266,AA266,AF266,AK266,AP266,AQ266,AT266)</f>
        <v>40</v>
      </c>
      <c r="BK266" s="6">
        <v>65.0</v>
      </c>
      <c r="BN266">
        <f t="shared" ref="BN266:BN296" si="84">AX266-AX44</f>
        <v>-1</v>
      </c>
      <c r="BO266">
        <f t="shared" ref="BO266:BO296" si="85">BA266-BA44</f>
        <v>2</v>
      </c>
      <c r="BP266">
        <f t="shared" ref="BP266:BP296" si="86">BD266-BD44</f>
        <v>-2</v>
      </c>
      <c r="BQ266">
        <f t="shared" ref="BQ266:BQ296" si="87">BG266-BG44</f>
        <v>0</v>
      </c>
      <c r="BR266">
        <f t="shared" ref="BR266:BR296" si="88">BJ266-BJ44</f>
        <v>-2</v>
      </c>
      <c r="BZ266" s="6">
        <f t="shared" si="78"/>
        <v>-0.1638632833</v>
      </c>
    </row>
    <row r="267">
      <c r="B267" s="5" t="s">
        <v>7</v>
      </c>
      <c r="C267" s="6">
        <v>5.0</v>
      </c>
      <c r="D267" s="12">
        <v>4.0</v>
      </c>
      <c r="E267" s="6">
        <v>1.0</v>
      </c>
      <c r="F267" s="6">
        <v>4.0</v>
      </c>
      <c r="G267" s="6">
        <v>4.0</v>
      </c>
      <c r="H267" s="12">
        <v>2.0</v>
      </c>
      <c r="I267" s="6">
        <v>4.0</v>
      </c>
      <c r="J267" s="12">
        <v>1.0</v>
      </c>
      <c r="K267" s="12">
        <v>2.0</v>
      </c>
      <c r="L267" s="6">
        <v>5.0</v>
      </c>
      <c r="M267" s="6">
        <v>1.0</v>
      </c>
      <c r="N267" s="12">
        <v>5.0</v>
      </c>
      <c r="O267" s="6">
        <v>1.0</v>
      </c>
      <c r="P267" s="6">
        <v>2.0</v>
      </c>
      <c r="Q267" s="6">
        <v>4.0</v>
      </c>
      <c r="R267" s="6">
        <v>1.0</v>
      </c>
      <c r="S267" s="6">
        <v>5.0</v>
      </c>
      <c r="T267" s="12">
        <v>1.0</v>
      </c>
      <c r="U267" s="6">
        <v>1.0</v>
      </c>
      <c r="V267" s="6">
        <v>4.0</v>
      </c>
      <c r="W267" s="12">
        <v>3.0</v>
      </c>
      <c r="X267" s="6">
        <v>1.0</v>
      </c>
      <c r="Y267" s="12">
        <v>1.0</v>
      </c>
      <c r="Z267" s="12">
        <v>2.0</v>
      </c>
      <c r="AA267" s="6">
        <v>4.0</v>
      </c>
      <c r="AB267" s="6">
        <v>2.0</v>
      </c>
      <c r="AC267" s="12">
        <v>3.0</v>
      </c>
      <c r="AD267" s="6">
        <v>1.0</v>
      </c>
      <c r="AE267" s="6">
        <v>2.0</v>
      </c>
      <c r="AF267" s="6">
        <v>4.0</v>
      </c>
      <c r="AG267" s="12">
        <v>2.0</v>
      </c>
      <c r="AH267" s="6">
        <v>4.0</v>
      </c>
      <c r="AI267" s="6">
        <v>3.0</v>
      </c>
      <c r="AJ267" s="12">
        <v>2.0</v>
      </c>
      <c r="AK267" s="12">
        <v>4.0</v>
      </c>
      <c r="AL267" s="6">
        <v>5.0</v>
      </c>
      <c r="AM267" s="12">
        <v>2.0</v>
      </c>
      <c r="AN267" s="6">
        <v>2.0</v>
      </c>
      <c r="AO267" s="6">
        <v>1.0</v>
      </c>
      <c r="AP267" s="6">
        <v>5.0</v>
      </c>
      <c r="AQ267" s="12">
        <v>5.0</v>
      </c>
      <c r="AR267" s="6">
        <v>4.0</v>
      </c>
      <c r="AS267" s="12">
        <v>3.0</v>
      </c>
      <c r="AT267" s="6">
        <v>3.0</v>
      </c>
      <c r="AV267" s="6">
        <f t="shared" si="67"/>
        <v>1.461811266</v>
      </c>
      <c r="AX267" s="6">
        <f t="shared" si="79"/>
        <v>21</v>
      </c>
      <c r="AY267" s="6">
        <v>13.0</v>
      </c>
      <c r="BA267" s="6">
        <f t="shared" si="80"/>
        <v>32</v>
      </c>
      <c r="BB267" s="6">
        <v>30.0</v>
      </c>
      <c r="BD267" s="6">
        <f t="shared" si="81"/>
        <v>14</v>
      </c>
      <c r="BE267" s="6"/>
      <c r="BG267" s="6">
        <f t="shared" si="82"/>
        <v>16</v>
      </c>
      <c r="BH267" s="6">
        <v>20.0</v>
      </c>
      <c r="BJ267" s="6">
        <f t="shared" si="83"/>
        <v>42</v>
      </c>
      <c r="BK267" s="6">
        <v>75.0</v>
      </c>
      <c r="BN267">
        <f t="shared" si="84"/>
        <v>-3</v>
      </c>
      <c r="BO267">
        <f t="shared" si="85"/>
        <v>-3</v>
      </c>
      <c r="BP267">
        <f t="shared" si="86"/>
        <v>1</v>
      </c>
      <c r="BQ267">
        <f t="shared" si="87"/>
        <v>1</v>
      </c>
      <c r="BR267">
        <f t="shared" si="88"/>
        <v>0</v>
      </c>
      <c r="BZ267" s="6">
        <f t="shared" si="78"/>
        <v>0.02479680169</v>
      </c>
    </row>
    <row r="268">
      <c r="B268" s="5" t="s">
        <v>8</v>
      </c>
      <c r="C268" s="6">
        <v>3.0</v>
      </c>
      <c r="D268" s="12">
        <v>4.0</v>
      </c>
      <c r="E268" s="6">
        <v>4.0</v>
      </c>
      <c r="F268" s="6">
        <v>2.0</v>
      </c>
      <c r="G268" s="6">
        <v>4.0</v>
      </c>
      <c r="H268" s="12">
        <v>3.0</v>
      </c>
      <c r="I268" s="6">
        <v>4.0</v>
      </c>
      <c r="J268" s="12">
        <v>2.0</v>
      </c>
      <c r="K268" s="12">
        <v>3.0</v>
      </c>
      <c r="L268" s="6">
        <v>4.0</v>
      </c>
      <c r="M268" s="6">
        <v>3.0</v>
      </c>
      <c r="N268" s="12">
        <v>5.0</v>
      </c>
      <c r="O268" s="6">
        <v>4.0</v>
      </c>
      <c r="P268" s="6">
        <v>3.0</v>
      </c>
      <c r="Q268" s="6">
        <v>4.0</v>
      </c>
      <c r="R268" s="6">
        <v>4.0</v>
      </c>
      <c r="S268" s="6">
        <v>4.0</v>
      </c>
      <c r="T268" s="12">
        <v>2.0</v>
      </c>
      <c r="U268" s="6">
        <v>2.0</v>
      </c>
      <c r="V268" s="6">
        <v>4.0</v>
      </c>
      <c r="W268" s="12">
        <v>3.0</v>
      </c>
      <c r="X268" s="6">
        <v>4.0</v>
      </c>
      <c r="Y268" s="12">
        <v>3.0</v>
      </c>
      <c r="Z268" s="12">
        <v>2.0</v>
      </c>
      <c r="AA268" s="6">
        <v>4.0</v>
      </c>
      <c r="AB268" s="6">
        <v>3.0</v>
      </c>
      <c r="AC268" s="12">
        <v>4.0</v>
      </c>
      <c r="AD268" s="6">
        <v>4.0</v>
      </c>
      <c r="AE268" s="6">
        <v>3.0</v>
      </c>
      <c r="AF268" s="6">
        <v>5.0</v>
      </c>
      <c r="AG268" s="12">
        <v>4.0</v>
      </c>
      <c r="AH268" s="6">
        <v>4.0</v>
      </c>
      <c r="AI268" s="6">
        <v>3.0</v>
      </c>
      <c r="AJ268" s="12">
        <v>1.0</v>
      </c>
      <c r="AK268" s="12">
        <v>5.0</v>
      </c>
      <c r="AL268" s="6">
        <v>4.0</v>
      </c>
      <c r="AM268" s="12">
        <v>4.0</v>
      </c>
      <c r="AN268" s="6">
        <v>4.0</v>
      </c>
      <c r="AO268" s="6">
        <v>2.0</v>
      </c>
      <c r="AP268" s="6">
        <v>4.0</v>
      </c>
      <c r="AQ268" s="12">
        <v>5.0</v>
      </c>
      <c r="AR268" s="6">
        <v>4.0</v>
      </c>
      <c r="AS268" s="12">
        <v>2.0</v>
      </c>
      <c r="AT268" s="6">
        <v>5.0</v>
      </c>
      <c r="AV268" s="6">
        <f t="shared" si="67"/>
        <v>0.9764672919</v>
      </c>
      <c r="AX268" s="6">
        <f t="shared" si="79"/>
        <v>27</v>
      </c>
      <c r="AY268" s="6">
        <v>45.0</v>
      </c>
      <c r="BA268" s="6">
        <f t="shared" si="80"/>
        <v>37</v>
      </c>
      <c r="BB268" s="6">
        <v>65.0</v>
      </c>
      <c r="BD268" s="6">
        <f t="shared" si="81"/>
        <v>28</v>
      </c>
      <c r="BE268" s="6">
        <v>25.0</v>
      </c>
      <c r="BG268" s="6">
        <f t="shared" si="82"/>
        <v>18</v>
      </c>
      <c r="BH268" s="6">
        <v>25.0</v>
      </c>
      <c r="BJ268" s="6">
        <f t="shared" si="83"/>
        <v>44</v>
      </c>
      <c r="BK268" s="6">
        <v>80.0</v>
      </c>
      <c r="BN268">
        <f t="shared" si="84"/>
        <v>-1</v>
      </c>
      <c r="BO268">
        <f t="shared" si="85"/>
        <v>1</v>
      </c>
      <c r="BP268">
        <f t="shared" si="86"/>
        <v>-3</v>
      </c>
      <c r="BQ268">
        <f t="shared" si="87"/>
        <v>-2</v>
      </c>
      <c r="BR268">
        <f t="shared" si="88"/>
        <v>3</v>
      </c>
      <c r="BZ268" s="6">
        <f t="shared" si="78"/>
        <v>0.1565255624</v>
      </c>
    </row>
    <row r="269">
      <c r="B269" s="5" t="s">
        <v>9</v>
      </c>
      <c r="C269" s="6">
        <v>4.0</v>
      </c>
      <c r="D269" s="12">
        <v>4.0</v>
      </c>
      <c r="E269" s="6">
        <v>4.0</v>
      </c>
      <c r="F269" s="6">
        <v>1.0</v>
      </c>
      <c r="G269" s="6">
        <v>4.0</v>
      </c>
      <c r="H269" s="12">
        <v>3.0</v>
      </c>
      <c r="I269" s="6">
        <v>4.0</v>
      </c>
      <c r="J269" s="12">
        <v>3.0</v>
      </c>
      <c r="K269" s="12">
        <v>2.0</v>
      </c>
      <c r="L269" s="6">
        <v>5.0</v>
      </c>
      <c r="M269" s="6">
        <v>5.0</v>
      </c>
      <c r="N269" s="12">
        <v>5.0</v>
      </c>
      <c r="O269" s="6">
        <v>3.0</v>
      </c>
      <c r="P269" s="6">
        <v>4.0</v>
      </c>
      <c r="Q269" s="6">
        <v>4.0</v>
      </c>
      <c r="R269" s="6">
        <v>3.0</v>
      </c>
      <c r="S269" s="6">
        <v>5.0</v>
      </c>
      <c r="T269" s="12">
        <v>3.0</v>
      </c>
      <c r="U269" s="6">
        <v>1.0</v>
      </c>
      <c r="V269" s="6">
        <v>5.0</v>
      </c>
      <c r="W269" s="12">
        <v>3.0</v>
      </c>
      <c r="X269" s="6">
        <v>4.0</v>
      </c>
      <c r="Y269" s="12">
        <v>3.0</v>
      </c>
      <c r="Z269" s="12">
        <v>1.0</v>
      </c>
      <c r="AA269" s="6">
        <v>4.0</v>
      </c>
      <c r="AB269" s="6">
        <v>4.0</v>
      </c>
      <c r="AC269" s="12">
        <v>3.0</v>
      </c>
      <c r="AD269" s="6">
        <v>2.0</v>
      </c>
      <c r="AE269" s="6">
        <v>4.0</v>
      </c>
      <c r="AF269" s="6">
        <v>5.0</v>
      </c>
      <c r="AG269" s="12">
        <v>2.0</v>
      </c>
      <c r="AH269" s="6">
        <v>4.0</v>
      </c>
      <c r="AI269" s="6">
        <v>3.0</v>
      </c>
      <c r="AJ269" s="12">
        <v>2.0</v>
      </c>
      <c r="AK269" s="12">
        <v>4.0</v>
      </c>
      <c r="AL269" s="6">
        <v>4.0</v>
      </c>
      <c r="AM269" s="12">
        <v>4.0</v>
      </c>
      <c r="AN269" s="6">
        <v>4.0</v>
      </c>
      <c r="AO269" s="6">
        <v>2.0</v>
      </c>
      <c r="AP269" s="6">
        <v>5.0</v>
      </c>
      <c r="AQ269" s="12">
        <v>5.0</v>
      </c>
      <c r="AR269" s="6">
        <v>4.0</v>
      </c>
      <c r="AS269" s="12">
        <v>4.0</v>
      </c>
      <c r="AT269" s="6">
        <v>5.0</v>
      </c>
      <c r="AV269" s="6">
        <f t="shared" si="67"/>
        <v>1.149271301</v>
      </c>
      <c r="AX269" s="6">
        <f t="shared" si="79"/>
        <v>28</v>
      </c>
      <c r="AY269" s="6">
        <v>55.0</v>
      </c>
      <c r="BA269" s="6">
        <f t="shared" si="80"/>
        <v>37</v>
      </c>
      <c r="BB269" s="6">
        <v>65.0</v>
      </c>
      <c r="BD269" s="6">
        <f t="shared" si="81"/>
        <v>29</v>
      </c>
      <c r="BE269" s="6">
        <v>30.0</v>
      </c>
      <c r="BG269" s="6">
        <f t="shared" si="82"/>
        <v>17</v>
      </c>
      <c r="BH269" s="6">
        <v>25.0</v>
      </c>
      <c r="BJ269" s="6">
        <f t="shared" si="83"/>
        <v>46</v>
      </c>
      <c r="BK269" s="6">
        <v>92.0</v>
      </c>
      <c r="BN269">
        <f t="shared" si="84"/>
        <v>5</v>
      </c>
      <c r="BO269">
        <f t="shared" si="85"/>
        <v>5</v>
      </c>
      <c r="BP269">
        <f t="shared" si="86"/>
        <v>4</v>
      </c>
      <c r="BQ269">
        <f t="shared" si="87"/>
        <v>2</v>
      </c>
      <c r="BR269">
        <f t="shared" si="88"/>
        <v>2</v>
      </c>
      <c r="BZ269" s="6">
        <f t="shared" si="78"/>
        <v>0.009234953219</v>
      </c>
    </row>
    <row r="270">
      <c r="B270" s="5" t="s">
        <v>10</v>
      </c>
      <c r="C270" s="6">
        <v>5.0</v>
      </c>
      <c r="D270" s="12">
        <v>4.0</v>
      </c>
      <c r="E270" s="6">
        <v>3.0</v>
      </c>
      <c r="F270" s="6">
        <v>2.0</v>
      </c>
      <c r="G270" s="6">
        <v>4.0</v>
      </c>
      <c r="H270" s="12">
        <v>3.0</v>
      </c>
      <c r="I270" s="6">
        <v>4.0</v>
      </c>
      <c r="J270" s="12">
        <v>2.0</v>
      </c>
      <c r="K270" s="12">
        <v>4.0</v>
      </c>
      <c r="L270" s="6">
        <v>4.0</v>
      </c>
      <c r="M270" s="6">
        <v>3.0</v>
      </c>
      <c r="N270" s="12">
        <v>4.0</v>
      </c>
      <c r="O270" s="6">
        <v>3.0</v>
      </c>
      <c r="P270" s="6">
        <v>3.0</v>
      </c>
      <c r="Q270" s="6">
        <v>4.0</v>
      </c>
      <c r="R270" s="6">
        <v>3.0</v>
      </c>
      <c r="S270" s="6">
        <v>4.0</v>
      </c>
      <c r="T270" s="12">
        <v>3.0</v>
      </c>
      <c r="U270" s="6">
        <v>2.0</v>
      </c>
      <c r="V270" s="6">
        <v>4.0</v>
      </c>
      <c r="W270" s="12">
        <v>4.0</v>
      </c>
      <c r="X270" s="6">
        <v>4.0</v>
      </c>
      <c r="Y270" s="12">
        <v>2.0</v>
      </c>
      <c r="Z270" s="12">
        <v>2.0</v>
      </c>
      <c r="AA270" s="6">
        <v>4.0</v>
      </c>
      <c r="AB270" s="6">
        <v>3.0</v>
      </c>
      <c r="AC270" s="12">
        <v>3.0</v>
      </c>
      <c r="AD270" s="6">
        <v>3.0</v>
      </c>
      <c r="AE270" s="6">
        <v>2.0</v>
      </c>
      <c r="AF270" s="6">
        <v>4.0</v>
      </c>
      <c r="AG270" s="12">
        <v>3.0</v>
      </c>
      <c r="AH270" s="6">
        <v>4.0</v>
      </c>
      <c r="AI270" s="6">
        <v>2.0</v>
      </c>
      <c r="AJ270" s="12">
        <v>3.0</v>
      </c>
      <c r="AK270" s="12">
        <v>3.0</v>
      </c>
      <c r="AL270" s="6">
        <v>4.0</v>
      </c>
      <c r="AM270" s="12">
        <v>4.0</v>
      </c>
      <c r="AN270" s="6">
        <v>3.0</v>
      </c>
      <c r="AO270" s="6">
        <v>2.0</v>
      </c>
      <c r="AP270" s="6">
        <v>4.0</v>
      </c>
      <c r="AQ270" s="12">
        <v>4.0</v>
      </c>
      <c r="AR270" s="6">
        <v>4.0</v>
      </c>
      <c r="AS270" s="12">
        <v>2.0</v>
      </c>
      <c r="AT270" s="6">
        <v>4.0</v>
      </c>
      <c r="AV270" s="6">
        <f t="shared" si="67"/>
        <v>0.8234794431</v>
      </c>
      <c r="AX270" s="6">
        <f t="shared" si="79"/>
        <v>28</v>
      </c>
      <c r="AY270" s="6"/>
      <c r="BA270" s="6">
        <f t="shared" si="80"/>
        <v>35</v>
      </c>
      <c r="BB270" s="6"/>
      <c r="BD270" s="6">
        <f t="shared" si="81"/>
        <v>23</v>
      </c>
      <c r="BE270" s="6"/>
      <c r="BG270" s="6">
        <f t="shared" si="82"/>
        <v>20</v>
      </c>
      <c r="BH270" s="6"/>
      <c r="BJ270" s="6">
        <f t="shared" si="83"/>
        <v>39</v>
      </c>
      <c r="BK270" s="6"/>
      <c r="BN270">
        <f t="shared" si="84"/>
        <v>0</v>
      </c>
      <c r="BO270">
        <f t="shared" si="85"/>
        <v>0</v>
      </c>
      <c r="BP270">
        <f t="shared" si="86"/>
        <v>-4</v>
      </c>
      <c r="BQ270">
        <f t="shared" si="87"/>
        <v>-2</v>
      </c>
      <c r="BR270">
        <f t="shared" si="88"/>
        <v>-3</v>
      </c>
      <c r="BZ270" s="6">
        <f t="shared" si="78"/>
        <v>-0.02559666216</v>
      </c>
    </row>
    <row r="271">
      <c r="B271" s="5" t="s">
        <v>11</v>
      </c>
      <c r="C271" s="6">
        <v>4.0</v>
      </c>
      <c r="D271" s="12">
        <v>4.0</v>
      </c>
      <c r="E271" s="6">
        <v>4.0</v>
      </c>
      <c r="F271" s="6">
        <v>2.0</v>
      </c>
      <c r="G271" s="6">
        <v>3.0</v>
      </c>
      <c r="H271" s="12">
        <v>3.0</v>
      </c>
      <c r="I271" s="6">
        <v>4.0</v>
      </c>
      <c r="J271" s="12">
        <v>2.0</v>
      </c>
      <c r="K271" s="12">
        <v>3.0</v>
      </c>
      <c r="L271" s="6">
        <v>4.0</v>
      </c>
      <c r="M271" s="6">
        <v>4.0</v>
      </c>
      <c r="N271" s="12">
        <v>4.0</v>
      </c>
      <c r="O271" s="6">
        <v>4.0</v>
      </c>
      <c r="P271" s="6">
        <v>4.0</v>
      </c>
      <c r="Q271" s="6">
        <v>4.0</v>
      </c>
      <c r="R271" s="6">
        <v>2.0</v>
      </c>
      <c r="S271" s="6">
        <v>4.0</v>
      </c>
      <c r="T271" s="12">
        <v>2.0</v>
      </c>
      <c r="U271" s="6">
        <v>4.0</v>
      </c>
      <c r="V271" s="6">
        <v>4.0</v>
      </c>
      <c r="W271" s="12">
        <v>3.0</v>
      </c>
      <c r="X271" s="6">
        <v>4.0</v>
      </c>
      <c r="Y271" s="12">
        <v>2.0</v>
      </c>
      <c r="Z271" s="12">
        <v>2.0</v>
      </c>
      <c r="AA271" s="6">
        <v>3.0</v>
      </c>
      <c r="AB271" s="6">
        <v>4.0</v>
      </c>
      <c r="AC271" s="12">
        <v>4.0</v>
      </c>
      <c r="AD271" s="6">
        <v>4.0</v>
      </c>
      <c r="AE271" s="6">
        <v>3.0</v>
      </c>
      <c r="AF271" s="6">
        <v>4.0</v>
      </c>
      <c r="AG271" s="12">
        <v>2.0</v>
      </c>
      <c r="AH271" s="6">
        <v>4.0</v>
      </c>
      <c r="AI271" s="6">
        <v>3.0</v>
      </c>
      <c r="AJ271" s="12">
        <v>2.0</v>
      </c>
      <c r="AK271" s="12">
        <v>2.0</v>
      </c>
      <c r="AL271" s="6">
        <v>4.0</v>
      </c>
      <c r="AM271" s="12">
        <v>2.0</v>
      </c>
      <c r="AN271" s="6">
        <v>4.0</v>
      </c>
      <c r="AO271" s="6">
        <v>4.0</v>
      </c>
      <c r="AP271" s="6">
        <v>4.0</v>
      </c>
      <c r="AQ271" s="12">
        <v>5.0</v>
      </c>
      <c r="AR271" s="6">
        <v>4.0</v>
      </c>
      <c r="AS271" s="12">
        <v>3.0</v>
      </c>
      <c r="AT271" s="6">
        <v>2.0</v>
      </c>
      <c r="AV271" s="6">
        <f t="shared" si="67"/>
        <v>0.8877246016</v>
      </c>
      <c r="AX271" s="6">
        <f t="shared" si="79"/>
        <v>26</v>
      </c>
      <c r="AY271" s="6"/>
      <c r="BA271" s="6">
        <f t="shared" si="80"/>
        <v>34</v>
      </c>
      <c r="BB271" s="6"/>
      <c r="BD271" s="6">
        <f t="shared" si="81"/>
        <v>28</v>
      </c>
      <c r="BE271" s="6"/>
      <c r="BG271" s="6">
        <f t="shared" si="82"/>
        <v>24</v>
      </c>
      <c r="BH271" s="6"/>
      <c r="BJ271" s="6">
        <f t="shared" si="83"/>
        <v>35</v>
      </c>
      <c r="BK271" s="6"/>
      <c r="BN271">
        <f t="shared" si="84"/>
        <v>2</v>
      </c>
      <c r="BO271">
        <f t="shared" si="85"/>
        <v>2</v>
      </c>
      <c r="BP271">
        <f t="shared" si="86"/>
        <v>-3</v>
      </c>
      <c r="BQ271">
        <f t="shared" si="87"/>
        <v>0</v>
      </c>
      <c r="BR271">
        <f t="shared" si="88"/>
        <v>0</v>
      </c>
      <c r="BZ271" s="6">
        <f t="shared" si="78"/>
        <v>0.004476703277</v>
      </c>
    </row>
    <row r="272">
      <c r="B272" s="5" t="s">
        <v>12</v>
      </c>
      <c r="C272" s="6">
        <v>5.0</v>
      </c>
      <c r="D272" s="12">
        <v>5.0</v>
      </c>
      <c r="E272" s="6">
        <v>5.0</v>
      </c>
      <c r="F272" s="6">
        <v>1.0</v>
      </c>
      <c r="G272" s="6">
        <v>5.0</v>
      </c>
      <c r="H272" s="12">
        <v>1.0</v>
      </c>
      <c r="I272" s="6">
        <v>5.0</v>
      </c>
      <c r="J272" s="12">
        <v>3.0</v>
      </c>
      <c r="K272" s="12">
        <v>2.0</v>
      </c>
      <c r="L272" s="6">
        <v>4.0</v>
      </c>
      <c r="M272" s="6">
        <v>5.0</v>
      </c>
      <c r="N272" s="12">
        <v>5.0</v>
      </c>
      <c r="O272" s="6">
        <v>5.0</v>
      </c>
      <c r="P272" s="6">
        <v>2.0</v>
      </c>
      <c r="Q272" s="6">
        <v>5.0</v>
      </c>
      <c r="R272" s="6">
        <v>4.0</v>
      </c>
      <c r="S272" s="6">
        <v>5.0</v>
      </c>
      <c r="T272" s="12">
        <v>3.0</v>
      </c>
      <c r="U272" s="6">
        <v>2.0</v>
      </c>
      <c r="V272" s="6">
        <v>5.0</v>
      </c>
      <c r="W272" s="12">
        <v>5.0</v>
      </c>
      <c r="X272" s="6">
        <v>5.0</v>
      </c>
      <c r="Y272" s="12">
        <v>3.0</v>
      </c>
      <c r="Z272" s="12">
        <v>2.0</v>
      </c>
      <c r="AA272" s="6">
        <v>5.0</v>
      </c>
      <c r="AB272" s="6">
        <v>4.0</v>
      </c>
      <c r="AC272" s="12">
        <v>4.0</v>
      </c>
      <c r="AD272" s="6">
        <v>3.0</v>
      </c>
      <c r="AE272" s="6">
        <v>2.0</v>
      </c>
      <c r="AF272" s="6">
        <v>5.0</v>
      </c>
      <c r="AG272" s="12">
        <v>5.0</v>
      </c>
      <c r="AH272" s="6">
        <v>5.0</v>
      </c>
      <c r="AI272" s="6">
        <v>5.0</v>
      </c>
      <c r="AJ272" s="12">
        <v>4.0</v>
      </c>
      <c r="AK272" s="12">
        <v>5.0</v>
      </c>
      <c r="AL272" s="6">
        <v>5.0</v>
      </c>
      <c r="AM272" s="12">
        <v>5.0</v>
      </c>
      <c r="AN272" s="6">
        <v>4.0</v>
      </c>
      <c r="AO272" s="6">
        <v>2.0</v>
      </c>
      <c r="AP272" s="6">
        <v>5.0</v>
      </c>
      <c r="AQ272" s="12">
        <v>5.0</v>
      </c>
      <c r="AR272" s="6">
        <v>5.0</v>
      </c>
      <c r="AS272" s="12">
        <v>2.0</v>
      </c>
      <c r="AT272" s="6">
        <v>5.0</v>
      </c>
      <c r="AV272" s="6">
        <f t="shared" si="67"/>
        <v>1.320476242</v>
      </c>
      <c r="AX272" s="6">
        <f t="shared" si="79"/>
        <v>34</v>
      </c>
      <c r="AY272" s="6"/>
      <c r="BA272" s="6">
        <f t="shared" si="80"/>
        <v>44</v>
      </c>
      <c r="BB272" s="6"/>
      <c r="BD272" s="6">
        <f t="shared" si="81"/>
        <v>33</v>
      </c>
      <c r="BE272" s="6"/>
      <c r="BG272" s="6">
        <f t="shared" si="82"/>
        <v>17</v>
      </c>
      <c r="BH272" s="6"/>
      <c r="BJ272" s="6">
        <f t="shared" si="83"/>
        <v>49</v>
      </c>
      <c r="BK272" s="6"/>
      <c r="BN272">
        <f t="shared" si="84"/>
        <v>1</v>
      </c>
      <c r="BO272">
        <f t="shared" si="85"/>
        <v>-1</v>
      </c>
      <c r="BP272">
        <f t="shared" si="86"/>
        <v>2</v>
      </c>
      <c r="BQ272">
        <f t="shared" si="87"/>
        <v>1</v>
      </c>
      <c r="BR272">
        <f t="shared" si="88"/>
        <v>3</v>
      </c>
      <c r="BZ272" s="6">
        <f t="shared" si="78"/>
        <v>0.0775257182</v>
      </c>
    </row>
    <row r="273">
      <c r="B273" s="5" t="s">
        <v>13</v>
      </c>
      <c r="C273" s="6">
        <v>5.0</v>
      </c>
      <c r="D273" s="12">
        <v>4.0</v>
      </c>
      <c r="E273" s="6">
        <v>2.0</v>
      </c>
      <c r="F273" s="6">
        <v>1.0</v>
      </c>
      <c r="G273" s="6">
        <v>4.0</v>
      </c>
      <c r="H273" s="12">
        <v>4.0</v>
      </c>
      <c r="I273" s="6">
        <v>5.0</v>
      </c>
      <c r="J273" s="12">
        <v>1.0</v>
      </c>
      <c r="K273" s="12">
        <v>4.0</v>
      </c>
      <c r="L273" s="6">
        <v>5.0</v>
      </c>
      <c r="M273" s="6">
        <v>5.0</v>
      </c>
      <c r="N273" s="12">
        <v>5.0</v>
      </c>
      <c r="O273" s="6">
        <v>4.0</v>
      </c>
      <c r="P273" s="6">
        <v>3.0</v>
      </c>
      <c r="Q273" s="6">
        <v>4.0</v>
      </c>
      <c r="R273" s="6">
        <v>5.0</v>
      </c>
      <c r="S273" s="6">
        <v>4.0</v>
      </c>
      <c r="T273" s="12">
        <v>1.0</v>
      </c>
      <c r="U273" s="6">
        <v>4.0</v>
      </c>
      <c r="V273" s="6">
        <v>5.0</v>
      </c>
      <c r="W273" s="12">
        <v>5.0</v>
      </c>
      <c r="X273" s="6">
        <v>5.0</v>
      </c>
      <c r="Y273" s="12">
        <v>2.0</v>
      </c>
      <c r="Z273" s="12">
        <v>4.0</v>
      </c>
      <c r="AA273" s="6">
        <v>4.0</v>
      </c>
      <c r="AB273" s="6">
        <v>5.0</v>
      </c>
      <c r="AC273" s="12">
        <v>5.0</v>
      </c>
      <c r="AD273" s="6">
        <v>3.0</v>
      </c>
      <c r="AE273" s="6">
        <v>3.0</v>
      </c>
      <c r="AF273" s="6">
        <v>4.0</v>
      </c>
      <c r="AG273" s="12">
        <v>5.0</v>
      </c>
      <c r="AH273" s="6">
        <v>5.0</v>
      </c>
      <c r="AI273" s="6">
        <v>2.0</v>
      </c>
      <c r="AJ273" s="12">
        <v>4.0</v>
      </c>
      <c r="AK273" s="12">
        <v>5.0</v>
      </c>
      <c r="AL273" s="6">
        <v>5.0</v>
      </c>
      <c r="AM273" s="12">
        <v>5.0</v>
      </c>
      <c r="AN273" s="6">
        <v>3.0</v>
      </c>
      <c r="AO273" s="6">
        <v>4.0</v>
      </c>
      <c r="AP273" s="6">
        <v>4.0</v>
      </c>
      <c r="AQ273" s="12">
        <v>3.0</v>
      </c>
      <c r="AR273" s="6">
        <v>5.0</v>
      </c>
      <c r="AS273" s="12">
        <v>1.0</v>
      </c>
      <c r="AT273" s="6">
        <v>4.0</v>
      </c>
      <c r="AV273" s="6">
        <f t="shared" si="67"/>
        <v>1.268416135</v>
      </c>
      <c r="AX273" s="6">
        <f t="shared" si="79"/>
        <v>39</v>
      </c>
      <c r="AY273" s="6"/>
      <c r="BA273" s="6">
        <f t="shared" si="80"/>
        <v>43</v>
      </c>
      <c r="BB273" s="6"/>
      <c r="BD273" s="6">
        <f t="shared" si="81"/>
        <v>19</v>
      </c>
      <c r="BE273" s="6"/>
      <c r="BG273" s="6">
        <f t="shared" si="82"/>
        <v>27</v>
      </c>
      <c r="BH273" s="6"/>
      <c r="BJ273" s="6">
        <f t="shared" si="83"/>
        <v>42</v>
      </c>
      <c r="BK273" s="6"/>
      <c r="BN273">
        <f t="shared" si="84"/>
        <v>0</v>
      </c>
      <c r="BO273">
        <f t="shared" si="85"/>
        <v>1</v>
      </c>
      <c r="BP273">
        <f t="shared" si="86"/>
        <v>-3</v>
      </c>
      <c r="BQ273">
        <f t="shared" si="87"/>
        <v>-1</v>
      </c>
      <c r="BR273">
        <f t="shared" si="88"/>
        <v>4</v>
      </c>
      <c r="BZ273" s="6">
        <f t="shared" si="78"/>
        <v>-0.006442394224</v>
      </c>
    </row>
    <row r="274">
      <c r="B274" s="5" t="s">
        <v>14</v>
      </c>
      <c r="C274" s="6">
        <v>4.0</v>
      </c>
      <c r="D274" s="12">
        <v>2.0</v>
      </c>
      <c r="E274" s="6">
        <v>5.0</v>
      </c>
      <c r="F274" s="6">
        <v>2.0</v>
      </c>
      <c r="G274" s="6">
        <v>4.0</v>
      </c>
      <c r="H274" s="12">
        <v>4.0</v>
      </c>
      <c r="I274" s="6">
        <v>4.0</v>
      </c>
      <c r="J274" s="12">
        <v>2.0</v>
      </c>
      <c r="K274" s="12">
        <v>2.0</v>
      </c>
      <c r="L274" s="6">
        <v>5.0</v>
      </c>
      <c r="M274" s="6">
        <v>4.0</v>
      </c>
      <c r="N274" s="12">
        <v>4.0</v>
      </c>
      <c r="O274" s="6">
        <v>4.0</v>
      </c>
      <c r="P274" s="6">
        <v>2.0</v>
      </c>
      <c r="Q274" s="6">
        <v>4.0</v>
      </c>
      <c r="R274" s="6">
        <v>4.0</v>
      </c>
      <c r="S274" s="6">
        <v>5.0</v>
      </c>
      <c r="T274" s="12">
        <v>2.0</v>
      </c>
      <c r="U274" s="6">
        <v>2.0</v>
      </c>
      <c r="V274" s="6">
        <v>4.0</v>
      </c>
      <c r="W274" s="12">
        <v>4.0</v>
      </c>
      <c r="X274" s="6">
        <v>4.0</v>
      </c>
      <c r="Y274" s="12">
        <v>4.0</v>
      </c>
      <c r="Z274" s="12">
        <v>4.0</v>
      </c>
      <c r="AA274" s="6">
        <v>4.0</v>
      </c>
      <c r="AB274" s="6">
        <v>4.0</v>
      </c>
      <c r="AC274" s="12">
        <v>5.0</v>
      </c>
      <c r="AD274" s="6">
        <v>4.0</v>
      </c>
      <c r="AE274" s="6">
        <v>4.0</v>
      </c>
      <c r="AF274" s="6">
        <v>4.0</v>
      </c>
      <c r="AG274" s="12">
        <v>4.0</v>
      </c>
      <c r="AH274" s="6">
        <v>4.0</v>
      </c>
      <c r="AI274" s="6">
        <v>4.0</v>
      </c>
      <c r="AJ274" s="12">
        <v>2.0</v>
      </c>
      <c r="AK274" s="12">
        <v>5.0</v>
      </c>
      <c r="AL274" s="6">
        <v>4.0</v>
      </c>
      <c r="AM274" s="12">
        <v>3.0</v>
      </c>
      <c r="AN274" s="6">
        <v>4.0</v>
      </c>
      <c r="AO274" s="6">
        <v>2.0</v>
      </c>
      <c r="AP274" s="6">
        <v>4.0</v>
      </c>
      <c r="AQ274" s="12">
        <v>4.0</v>
      </c>
      <c r="AR274" s="6">
        <v>4.0</v>
      </c>
      <c r="AS274" s="12">
        <v>2.0</v>
      </c>
      <c r="AT274" s="6">
        <v>4.0</v>
      </c>
      <c r="AV274" s="6">
        <f t="shared" si="67"/>
        <v>0.9666751719</v>
      </c>
      <c r="AX274" s="6">
        <f t="shared" si="79"/>
        <v>32</v>
      </c>
      <c r="AY274" s="6"/>
      <c r="BA274" s="6">
        <f t="shared" si="80"/>
        <v>35</v>
      </c>
      <c r="BB274" s="6"/>
      <c r="BD274" s="6">
        <f t="shared" si="81"/>
        <v>31</v>
      </c>
      <c r="BE274" s="6"/>
      <c r="BG274" s="6">
        <f t="shared" si="82"/>
        <v>20</v>
      </c>
      <c r="BH274" s="6"/>
      <c r="BJ274" s="6">
        <f t="shared" si="83"/>
        <v>42</v>
      </c>
      <c r="BK274" s="6"/>
      <c r="BN274">
        <f t="shared" si="84"/>
        <v>0</v>
      </c>
      <c r="BO274">
        <f t="shared" si="85"/>
        <v>-1</v>
      </c>
      <c r="BP274">
        <f t="shared" si="86"/>
        <v>2</v>
      </c>
      <c r="BQ274">
        <f t="shared" si="87"/>
        <v>0</v>
      </c>
      <c r="BR274">
        <f t="shared" si="88"/>
        <v>1</v>
      </c>
      <c r="BZ274" s="6">
        <f t="shared" si="78"/>
        <v>-0.09684644242</v>
      </c>
    </row>
    <row r="275">
      <c r="B275" s="5" t="s">
        <v>15</v>
      </c>
      <c r="C275" s="6">
        <v>5.0</v>
      </c>
      <c r="D275" s="12">
        <v>3.0</v>
      </c>
      <c r="E275" s="6">
        <v>5.0</v>
      </c>
      <c r="F275" s="6">
        <v>3.0</v>
      </c>
      <c r="G275" s="6">
        <v>5.0</v>
      </c>
      <c r="H275" s="12">
        <v>3.0</v>
      </c>
      <c r="I275" s="6">
        <v>5.0</v>
      </c>
      <c r="J275" s="12">
        <v>3.0</v>
      </c>
      <c r="K275" s="12">
        <v>3.0</v>
      </c>
      <c r="L275" s="6">
        <v>5.0</v>
      </c>
      <c r="M275" s="6">
        <v>3.0</v>
      </c>
      <c r="N275" s="12">
        <v>5.0</v>
      </c>
      <c r="O275" s="6">
        <v>5.0</v>
      </c>
      <c r="P275" s="6">
        <v>3.0</v>
      </c>
      <c r="Q275" s="6">
        <v>4.0</v>
      </c>
      <c r="R275" s="6">
        <v>3.0</v>
      </c>
      <c r="S275" s="6">
        <v>1.0</v>
      </c>
      <c r="T275" s="12">
        <v>3.0</v>
      </c>
      <c r="U275" s="6">
        <v>5.0</v>
      </c>
      <c r="V275" s="6">
        <v>5.0</v>
      </c>
      <c r="W275" s="12">
        <v>3.0</v>
      </c>
      <c r="X275" s="6">
        <v>5.0</v>
      </c>
      <c r="Y275" s="12">
        <v>1.0</v>
      </c>
      <c r="Z275" s="12">
        <v>3.0</v>
      </c>
      <c r="AA275" s="6">
        <v>3.0</v>
      </c>
      <c r="AB275" s="6">
        <v>3.0</v>
      </c>
      <c r="AC275" s="12">
        <v>3.0</v>
      </c>
      <c r="AD275" s="6">
        <v>5.0</v>
      </c>
      <c r="AE275" s="6">
        <v>3.0</v>
      </c>
      <c r="AF275" s="6">
        <v>5.0</v>
      </c>
      <c r="AG275" s="12">
        <v>3.0</v>
      </c>
      <c r="AH275" s="6">
        <v>5.0</v>
      </c>
      <c r="AI275" s="6">
        <v>5.0</v>
      </c>
      <c r="AJ275" s="12">
        <v>3.0</v>
      </c>
      <c r="AK275" s="12">
        <v>3.0</v>
      </c>
      <c r="AL275" s="6">
        <v>5.0</v>
      </c>
      <c r="AM275" s="12">
        <v>5.0</v>
      </c>
      <c r="AN275" s="6">
        <v>5.0</v>
      </c>
      <c r="AO275" s="6">
        <v>3.0</v>
      </c>
      <c r="AP275" s="6">
        <v>5.0</v>
      </c>
      <c r="AQ275" s="12">
        <v>5.0</v>
      </c>
      <c r="AR275" s="6">
        <v>5.0</v>
      </c>
      <c r="AS275" s="12">
        <v>3.0</v>
      </c>
      <c r="AT275" s="6">
        <v>5.0</v>
      </c>
      <c r="AV275" s="6">
        <f t="shared" si="67"/>
        <v>1.165709866</v>
      </c>
      <c r="AX275" s="6">
        <f t="shared" si="79"/>
        <v>28</v>
      </c>
      <c r="AY275" s="6"/>
      <c r="BA275" s="6">
        <f t="shared" si="80"/>
        <v>37</v>
      </c>
      <c r="BB275" s="6"/>
      <c r="BD275" s="6">
        <f t="shared" si="81"/>
        <v>35</v>
      </c>
      <c r="BE275" s="6"/>
      <c r="BG275" s="6">
        <f t="shared" si="82"/>
        <v>26</v>
      </c>
      <c r="BH275" s="6"/>
      <c r="BJ275" s="6">
        <f t="shared" si="83"/>
        <v>45</v>
      </c>
      <c r="BK275" s="6"/>
      <c r="BN275">
        <f t="shared" si="84"/>
        <v>0</v>
      </c>
      <c r="BO275">
        <f t="shared" si="85"/>
        <v>6</v>
      </c>
      <c r="BP275">
        <f t="shared" si="86"/>
        <v>2</v>
      </c>
      <c r="BQ275">
        <f t="shared" si="87"/>
        <v>-2</v>
      </c>
      <c r="BR275">
        <f t="shared" si="88"/>
        <v>7</v>
      </c>
      <c r="BZ275" s="6">
        <f t="shared" si="78"/>
        <v>0.05931866979</v>
      </c>
    </row>
    <row r="276">
      <c r="B276" s="8" t="s">
        <v>16</v>
      </c>
      <c r="C276" s="6">
        <v>4.0</v>
      </c>
      <c r="D276" s="12">
        <v>3.0</v>
      </c>
      <c r="E276" s="6">
        <v>4.0</v>
      </c>
      <c r="F276" s="6">
        <v>1.0</v>
      </c>
      <c r="G276" s="6">
        <v>4.0</v>
      </c>
      <c r="H276" s="12">
        <v>4.0</v>
      </c>
      <c r="I276" s="6">
        <v>4.0</v>
      </c>
      <c r="J276" s="12">
        <v>1.0</v>
      </c>
      <c r="K276" s="12">
        <v>2.0</v>
      </c>
      <c r="L276" s="6">
        <v>5.0</v>
      </c>
      <c r="M276" s="6">
        <v>3.0</v>
      </c>
      <c r="N276" s="12">
        <v>5.0</v>
      </c>
      <c r="O276" s="6">
        <v>4.0</v>
      </c>
      <c r="P276" s="6">
        <v>1.0</v>
      </c>
      <c r="Q276" s="6">
        <v>4.0</v>
      </c>
      <c r="R276" s="6">
        <v>4.0</v>
      </c>
      <c r="S276" s="6">
        <v>4.0</v>
      </c>
      <c r="T276" s="12">
        <v>1.0</v>
      </c>
      <c r="U276" s="6">
        <v>2.0</v>
      </c>
      <c r="V276" s="6">
        <v>4.0</v>
      </c>
      <c r="W276" s="12">
        <v>5.0</v>
      </c>
      <c r="X276" s="6">
        <v>4.0</v>
      </c>
      <c r="Y276" s="12">
        <v>1.0</v>
      </c>
      <c r="Z276" s="12">
        <v>2.0</v>
      </c>
      <c r="AA276" s="6">
        <v>4.0</v>
      </c>
      <c r="AB276" s="6">
        <v>5.0</v>
      </c>
      <c r="AC276" s="12">
        <v>4.0</v>
      </c>
      <c r="AD276" s="6">
        <v>3.0</v>
      </c>
      <c r="AE276" s="6">
        <v>1.0</v>
      </c>
      <c r="AF276" s="6">
        <v>4.0</v>
      </c>
      <c r="AG276" s="12">
        <v>5.0</v>
      </c>
      <c r="AH276" s="6">
        <v>4.0</v>
      </c>
      <c r="AI276" s="6">
        <v>4.0</v>
      </c>
      <c r="AJ276" s="12">
        <v>1.0</v>
      </c>
      <c r="AK276" s="12">
        <v>3.0</v>
      </c>
      <c r="AL276" s="6">
        <v>4.0</v>
      </c>
      <c r="AM276" s="12">
        <v>4.0</v>
      </c>
      <c r="AN276" s="6">
        <v>4.0</v>
      </c>
      <c r="AO276" s="6">
        <v>1.0</v>
      </c>
      <c r="AP276" s="6">
        <v>5.0</v>
      </c>
      <c r="AQ276" s="12">
        <v>5.0</v>
      </c>
      <c r="AR276" s="6">
        <v>4.0</v>
      </c>
      <c r="AS276" s="12">
        <v>1.0</v>
      </c>
      <c r="AT276" s="6">
        <v>4.0</v>
      </c>
      <c r="AV276" s="6">
        <f t="shared" si="67"/>
        <v>1.393885773</v>
      </c>
      <c r="AX276" s="6">
        <f t="shared" si="79"/>
        <v>34</v>
      </c>
      <c r="AY276" s="6"/>
      <c r="BA276" s="6">
        <f t="shared" si="80"/>
        <v>36</v>
      </c>
      <c r="BB276" s="6"/>
      <c r="BD276" s="6">
        <f t="shared" si="81"/>
        <v>23</v>
      </c>
      <c r="BE276" s="6"/>
      <c r="BG276" s="6">
        <f t="shared" si="82"/>
        <v>11</v>
      </c>
      <c r="BH276" s="6"/>
      <c r="BJ276" s="6">
        <f t="shared" si="83"/>
        <v>42</v>
      </c>
      <c r="BK276" s="6"/>
      <c r="BN276">
        <f t="shared" si="84"/>
        <v>1</v>
      </c>
      <c r="BO276">
        <f t="shared" si="85"/>
        <v>1</v>
      </c>
      <c r="BP276">
        <f t="shared" si="86"/>
        <v>0</v>
      </c>
      <c r="BQ276">
        <f t="shared" si="87"/>
        <v>1</v>
      </c>
      <c r="BR276">
        <f t="shared" si="88"/>
        <v>0</v>
      </c>
      <c r="BZ276" s="6">
        <f t="shared" si="78"/>
        <v>0.01084900622</v>
      </c>
    </row>
    <row r="277">
      <c r="B277" s="8" t="s">
        <v>17</v>
      </c>
      <c r="C277" s="6">
        <v>2.0</v>
      </c>
      <c r="D277" s="12">
        <v>5.0</v>
      </c>
      <c r="E277" s="6">
        <v>4.0</v>
      </c>
      <c r="F277" s="6">
        <v>2.0</v>
      </c>
      <c r="G277" s="6">
        <v>4.0</v>
      </c>
      <c r="H277" s="12">
        <v>4.0</v>
      </c>
      <c r="I277" s="6">
        <v>2.0</v>
      </c>
      <c r="J277" s="12">
        <v>3.0</v>
      </c>
      <c r="K277" s="12">
        <v>2.0</v>
      </c>
      <c r="L277" s="6">
        <v>5.0</v>
      </c>
      <c r="M277" s="6">
        <v>3.0</v>
      </c>
      <c r="N277" s="12">
        <v>5.0</v>
      </c>
      <c r="O277" s="6">
        <v>5.0</v>
      </c>
      <c r="P277" s="6">
        <v>2.0</v>
      </c>
      <c r="Q277" s="6">
        <v>4.0</v>
      </c>
      <c r="R277" s="6">
        <v>4.0</v>
      </c>
      <c r="S277" s="6">
        <v>5.0</v>
      </c>
      <c r="T277" s="12">
        <v>4.0</v>
      </c>
      <c r="U277" s="6">
        <v>4.0</v>
      </c>
      <c r="V277" s="6">
        <v>4.0</v>
      </c>
      <c r="W277" s="12">
        <v>4.0</v>
      </c>
      <c r="X277" s="6">
        <v>5.0</v>
      </c>
      <c r="Y277" s="12">
        <v>3.0</v>
      </c>
      <c r="Z277" s="12">
        <v>2.0</v>
      </c>
      <c r="AA277" s="6">
        <v>4.0</v>
      </c>
      <c r="AB277" s="6">
        <v>4.0</v>
      </c>
      <c r="AC277" s="12">
        <v>4.0</v>
      </c>
      <c r="AD277" s="6">
        <v>4.0</v>
      </c>
      <c r="AE277" s="6">
        <v>2.0</v>
      </c>
      <c r="AF277" s="6">
        <v>4.0</v>
      </c>
      <c r="AG277" s="12">
        <v>2.0</v>
      </c>
      <c r="AH277" s="6">
        <v>4.0</v>
      </c>
      <c r="AI277" s="6">
        <v>4.0</v>
      </c>
      <c r="AJ277" s="12">
        <v>2.0</v>
      </c>
      <c r="AK277" s="12">
        <v>4.0</v>
      </c>
      <c r="AL277" s="6">
        <v>3.0</v>
      </c>
      <c r="AM277" s="12">
        <v>4.0</v>
      </c>
      <c r="AN277" s="6">
        <v>4.0</v>
      </c>
      <c r="AO277" s="6">
        <v>2.0</v>
      </c>
      <c r="AP277" s="6">
        <v>5.0</v>
      </c>
      <c r="AQ277" s="12">
        <v>5.0</v>
      </c>
      <c r="AR277" s="6">
        <v>4.0</v>
      </c>
      <c r="AS277" s="12">
        <v>4.0</v>
      </c>
      <c r="AT277" s="6">
        <v>4.0</v>
      </c>
      <c r="AV277" s="6">
        <f t="shared" si="67"/>
        <v>1.036337673</v>
      </c>
      <c r="AX277" s="6">
        <f t="shared" si="79"/>
        <v>26</v>
      </c>
      <c r="AY277" s="6"/>
      <c r="BA277" s="6">
        <f t="shared" si="80"/>
        <v>38</v>
      </c>
      <c r="BB277" s="6"/>
      <c r="BD277" s="6">
        <f t="shared" si="81"/>
        <v>35</v>
      </c>
      <c r="BE277" s="6"/>
      <c r="BG277" s="6">
        <f t="shared" si="82"/>
        <v>18</v>
      </c>
      <c r="BH277" s="6"/>
      <c r="BJ277" s="6">
        <f t="shared" si="83"/>
        <v>43</v>
      </c>
      <c r="BK277" s="6"/>
      <c r="BN277">
        <f t="shared" si="84"/>
        <v>5</v>
      </c>
      <c r="BO277">
        <f t="shared" si="85"/>
        <v>-4</v>
      </c>
      <c r="BP277">
        <f t="shared" si="86"/>
        <v>2</v>
      </c>
      <c r="BQ277">
        <f t="shared" si="87"/>
        <v>4</v>
      </c>
      <c r="BR277">
        <f t="shared" si="88"/>
        <v>-1</v>
      </c>
      <c r="BZ277" s="6">
        <f t="shared" si="78"/>
        <v>-0.3696296762</v>
      </c>
    </row>
    <row r="278">
      <c r="B278" s="8" t="s">
        <v>18</v>
      </c>
      <c r="C278" s="6">
        <v>5.0</v>
      </c>
      <c r="D278" s="12">
        <v>5.0</v>
      </c>
      <c r="E278" s="6">
        <v>5.0</v>
      </c>
      <c r="F278" s="6">
        <v>1.0</v>
      </c>
      <c r="G278" s="6">
        <v>4.0</v>
      </c>
      <c r="H278" s="12">
        <v>4.0</v>
      </c>
      <c r="I278" s="6">
        <v>5.0</v>
      </c>
      <c r="J278" s="12">
        <v>2.0</v>
      </c>
      <c r="K278" s="12">
        <v>2.0</v>
      </c>
      <c r="L278" s="6">
        <v>4.0</v>
      </c>
      <c r="M278" s="6">
        <v>5.0</v>
      </c>
      <c r="N278" s="12">
        <v>5.0</v>
      </c>
      <c r="O278" s="6">
        <v>5.0</v>
      </c>
      <c r="P278" s="6">
        <v>4.0</v>
      </c>
      <c r="Q278" s="6">
        <v>4.0</v>
      </c>
      <c r="R278" s="6">
        <v>5.0</v>
      </c>
      <c r="S278" s="6">
        <v>5.0</v>
      </c>
      <c r="T278" s="12">
        <v>2.0</v>
      </c>
      <c r="U278" s="6">
        <v>4.0</v>
      </c>
      <c r="V278" s="6">
        <v>4.0</v>
      </c>
      <c r="W278" s="12">
        <v>5.0</v>
      </c>
      <c r="X278" s="6">
        <v>5.0</v>
      </c>
      <c r="Y278" s="12">
        <v>5.0</v>
      </c>
      <c r="Z278" s="12">
        <v>2.0</v>
      </c>
      <c r="AA278" s="6">
        <v>4.0</v>
      </c>
      <c r="AB278" s="6">
        <v>3.0</v>
      </c>
      <c r="AC278" s="12">
        <v>2.0</v>
      </c>
      <c r="AD278" s="6">
        <v>5.0</v>
      </c>
      <c r="AE278" s="6">
        <v>3.0</v>
      </c>
      <c r="AF278" s="6">
        <v>3.0</v>
      </c>
      <c r="AG278" s="12">
        <v>3.0</v>
      </c>
      <c r="AH278" s="6">
        <v>5.0</v>
      </c>
      <c r="AI278" s="6">
        <v>5.0</v>
      </c>
      <c r="AJ278" s="12">
        <v>2.0</v>
      </c>
      <c r="AK278" s="12">
        <v>5.0</v>
      </c>
      <c r="AL278" s="6">
        <v>5.0</v>
      </c>
      <c r="AM278" s="12">
        <v>4.0</v>
      </c>
      <c r="AN278" s="6">
        <v>5.0</v>
      </c>
      <c r="AO278" s="6">
        <v>4.0</v>
      </c>
      <c r="AP278" s="6">
        <v>5.0</v>
      </c>
      <c r="AQ278" s="12">
        <v>5.0</v>
      </c>
      <c r="AR278" s="6">
        <v>5.0</v>
      </c>
      <c r="AS278" s="12">
        <v>4.0</v>
      </c>
      <c r="AT278" s="6">
        <v>3.0</v>
      </c>
      <c r="AV278" s="6">
        <f t="shared" si="67"/>
        <v>1.171138114</v>
      </c>
      <c r="AX278" s="6">
        <f t="shared" si="79"/>
        <v>35</v>
      </c>
      <c r="AY278" s="6"/>
      <c r="BA278" s="6">
        <f t="shared" si="80"/>
        <v>41</v>
      </c>
      <c r="BB278" s="6"/>
      <c r="BD278" s="6">
        <f t="shared" si="81"/>
        <v>38</v>
      </c>
      <c r="BE278" s="6"/>
      <c r="BG278" s="6">
        <f t="shared" si="82"/>
        <v>22</v>
      </c>
      <c r="BH278" s="6"/>
      <c r="BJ278" s="6">
        <f t="shared" si="83"/>
        <v>41</v>
      </c>
      <c r="BK278" s="6"/>
      <c r="BN278">
        <f t="shared" si="84"/>
        <v>3</v>
      </c>
      <c r="BO278">
        <f t="shared" si="85"/>
        <v>0</v>
      </c>
      <c r="BP278">
        <f t="shared" si="86"/>
        <v>1</v>
      </c>
      <c r="BQ278">
        <f t="shared" si="87"/>
        <v>1</v>
      </c>
      <c r="BR278">
        <f t="shared" si="88"/>
        <v>-1</v>
      </c>
      <c r="BZ278" s="6">
        <f t="shared" si="78"/>
        <v>-0.07520961592</v>
      </c>
    </row>
    <row r="279">
      <c r="B279" s="8" t="s">
        <v>19</v>
      </c>
      <c r="C279" s="6">
        <v>1.0</v>
      </c>
      <c r="D279" s="12">
        <v>5.0</v>
      </c>
      <c r="E279" s="6">
        <v>5.0</v>
      </c>
      <c r="F279" s="6">
        <v>2.0</v>
      </c>
      <c r="G279" s="6">
        <v>1.0</v>
      </c>
      <c r="H279" s="12">
        <v>1.0</v>
      </c>
      <c r="I279" s="6">
        <v>5.0</v>
      </c>
      <c r="J279" s="12">
        <v>1.0</v>
      </c>
      <c r="K279" s="12">
        <v>1.0</v>
      </c>
      <c r="L279" s="6">
        <v>5.0</v>
      </c>
      <c r="M279" s="6">
        <v>5.0</v>
      </c>
      <c r="N279" s="12">
        <v>5.0</v>
      </c>
      <c r="O279" s="6">
        <v>5.0</v>
      </c>
      <c r="P279" s="6">
        <v>1.0</v>
      </c>
      <c r="Q279" s="6">
        <v>3.0</v>
      </c>
      <c r="R279" s="6">
        <v>5.0</v>
      </c>
      <c r="S279" s="6">
        <v>5.0</v>
      </c>
      <c r="T279" s="12">
        <v>1.0</v>
      </c>
      <c r="U279" s="6">
        <v>5.0</v>
      </c>
      <c r="V279" s="6">
        <v>3.0</v>
      </c>
      <c r="W279" s="12">
        <v>1.0</v>
      </c>
      <c r="X279" s="6">
        <v>5.0</v>
      </c>
      <c r="Y279" s="12">
        <v>3.0</v>
      </c>
      <c r="Z279" s="12">
        <v>5.0</v>
      </c>
      <c r="AA279" s="6">
        <v>3.0</v>
      </c>
      <c r="AB279" s="6">
        <v>5.0</v>
      </c>
      <c r="AC279" s="12">
        <v>1.0</v>
      </c>
      <c r="AD279" s="6">
        <v>5.0</v>
      </c>
      <c r="AE279" s="6">
        <v>2.0</v>
      </c>
      <c r="AF279" s="6">
        <v>5.0</v>
      </c>
      <c r="AG279" s="12">
        <v>1.0</v>
      </c>
      <c r="AH279" s="6">
        <v>3.0</v>
      </c>
      <c r="AI279" s="6">
        <v>5.0</v>
      </c>
      <c r="AJ279" s="12">
        <v>1.0</v>
      </c>
      <c r="AK279" s="12">
        <v>5.0</v>
      </c>
      <c r="AL279" s="6">
        <v>3.0</v>
      </c>
      <c r="AM279" s="12">
        <v>4.0</v>
      </c>
      <c r="AN279" s="6">
        <v>5.0</v>
      </c>
      <c r="AO279" s="6">
        <v>3.0</v>
      </c>
      <c r="AP279" s="6">
        <v>5.0</v>
      </c>
      <c r="AQ279" s="12">
        <v>5.0</v>
      </c>
      <c r="AR279" s="6">
        <v>5.0</v>
      </c>
      <c r="AS279" s="12">
        <v>3.0</v>
      </c>
      <c r="AT279" s="6">
        <v>1.0</v>
      </c>
      <c r="AV279" s="6">
        <f t="shared" si="67"/>
        <v>1.72823218</v>
      </c>
      <c r="AX279" s="6">
        <f t="shared" si="79"/>
        <v>22</v>
      </c>
      <c r="AY279" s="6"/>
      <c r="BA279" s="6">
        <f t="shared" si="80"/>
        <v>38</v>
      </c>
      <c r="BB279" s="6"/>
      <c r="BD279" s="6">
        <f t="shared" si="81"/>
        <v>33</v>
      </c>
      <c r="BE279" s="6"/>
      <c r="BG279" s="6">
        <f t="shared" si="82"/>
        <v>20</v>
      </c>
      <c r="BH279" s="6"/>
      <c r="BJ279" s="6">
        <f t="shared" si="83"/>
        <v>36</v>
      </c>
      <c r="BK279" s="6"/>
      <c r="BN279">
        <f t="shared" si="84"/>
        <v>1</v>
      </c>
      <c r="BO279">
        <f t="shared" si="85"/>
        <v>1</v>
      </c>
      <c r="BP279">
        <f t="shared" si="86"/>
        <v>2</v>
      </c>
      <c r="BQ279">
        <f t="shared" si="87"/>
        <v>4</v>
      </c>
      <c r="BR279">
        <f t="shared" si="88"/>
        <v>-7</v>
      </c>
      <c r="BZ279" s="6">
        <f t="shared" si="78"/>
        <v>0.1130295638</v>
      </c>
    </row>
    <row r="280">
      <c r="B280" s="8" t="s">
        <v>20</v>
      </c>
      <c r="C280" s="6">
        <v>4.0</v>
      </c>
      <c r="D280" s="12">
        <v>2.0</v>
      </c>
      <c r="E280" s="6">
        <v>5.0</v>
      </c>
      <c r="F280" s="6">
        <v>4.0</v>
      </c>
      <c r="G280" s="6">
        <v>4.0</v>
      </c>
      <c r="H280" s="12">
        <v>3.0</v>
      </c>
      <c r="I280" s="6">
        <v>4.0</v>
      </c>
      <c r="J280" s="12">
        <v>3.0</v>
      </c>
      <c r="K280" s="12">
        <v>3.0</v>
      </c>
      <c r="L280" s="6">
        <v>4.0</v>
      </c>
      <c r="M280" s="6">
        <v>3.0</v>
      </c>
      <c r="N280" s="12">
        <v>4.0</v>
      </c>
      <c r="O280" s="6">
        <v>3.0</v>
      </c>
      <c r="P280" s="6">
        <v>4.0</v>
      </c>
      <c r="Q280" s="6">
        <v>4.0</v>
      </c>
      <c r="R280" s="6">
        <v>3.0</v>
      </c>
      <c r="S280" s="6">
        <v>4.0</v>
      </c>
      <c r="T280" s="12">
        <v>3.0</v>
      </c>
      <c r="U280" s="6">
        <v>3.0</v>
      </c>
      <c r="V280" s="6">
        <v>4.0</v>
      </c>
      <c r="W280" s="12">
        <v>3.0</v>
      </c>
      <c r="X280" s="6">
        <v>4.0</v>
      </c>
      <c r="Y280" s="12">
        <v>3.0</v>
      </c>
      <c r="Z280" s="12">
        <v>3.0</v>
      </c>
      <c r="AA280" s="6">
        <v>4.0</v>
      </c>
      <c r="AB280" s="6">
        <v>4.0</v>
      </c>
      <c r="AC280" s="12">
        <v>3.0</v>
      </c>
      <c r="AD280" s="6">
        <v>5.0</v>
      </c>
      <c r="AE280" s="6">
        <v>4.0</v>
      </c>
      <c r="AF280" s="6">
        <v>4.0</v>
      </c>
      <c r="AG280" s="12">
        <v>3.0</v>
      </c>
      <c r="AH280" s="6">
        <v>3.0</v>
      </c>
      <c r="AI280" s="6">
        <v>3.0</v>
      </c>
      <c r="AJ280" s="12">
        <v>2.0</v>
      </c>
      <c r="AK280" s="12">
        <v>3.0</v>
      </c>
      <c r="AL280" s="6">
        <v>3.0</v>
      </c>
      <c r="AM280" s="12">
        <v>2.0</v>
      </c>
      <c r="AN280" s="6">
        <v>5.0</v>
      </c>
      <c r="AO280" s="6">
        <v>4.0</v>
      </c>
      <c r="AP280" s="6">
        <v>5.0</v>
      </c>
      <c r="AQ280" s="12">
        <v>3.0</v>
      </c>
      <c r="AR280" s="6">
        <v>4.0</v>
      </c>
      <c r="AS280" s="12">
        <v>3.0</v>
      </c>
      <c r="AT280" s="6">
        <v>3.0</v>
      </c>
      <c r="AV280" s="6">
        <f t="shared" si="67"/>
        <v>0.7624928517</v>
      </c>
      <c r="AX280" s="6">
        <f t="shared" si="79"/>
        <v>26</v>
      </c>
      <c r="AY280" s="6"/>
      <c r="BA280" s="6">
        <f t="shared" si="80"/>
        <v>30</v>
      </c>
      <c r="BB280" s="6"/>
      <c r="BD280" s="6">
        <f t="shared" si="81"/>
        <v>33</v>
      </c>
      <c r="BE280" s="6"/>
      <c r="BG280" s="6">
        <f t="shared" si="82"/>
        <v>27</v>
      </c>
      <c r="BH280" s="6"/>
      <c r="BJ280" s="6">
        <f t="shared" si="83"/>
        <v>38</v>
      </c>
      <c r="BK280" s="6"/>
      <c r="BN280">
        <f t="shared" si="84"/>
        <v>1</v>
      </c>
      <c r="BO280">
        <f t="shared" si="85"/>
        <v>1</v>
      </c>
      <c r="BP280">
        <f t="shared" si="86"/>
        <v>2</v>
      </c>
      <c r="BQ280">
        <f t="shared" si="87"/>
        <v>2</v>
      </c>
      <c r="BR280">
        <f t="shared" si="88"/>
        <v>-1</v>
      </c>
      <c r="BZ280" s="6">
        <f t="shared" si="78"/>
        <v>-0.07876614645</v>
      </c>
    </row>
    <row r="281">
      <c r="B281" s="8" t="s">
        <v>21</v>
      </c>
      <c r="C281" s="6">
        <v>3.0</v>
      </c>
      <c r="D281" s="12">
        <v>3.0</v>
      </c>
      <c r="E281" s="6">
        <v>4.0</v>
      </c>
      <c r="F281" s="6">
        <v>1.0</v>
      </c>
      <c r="G281" s="6">
        <v>5.0</v>
      </c>
      <c r="H281" s="12">
        <v>3.0</v>
      </c>
      <c r="I281" s="6">
        <v>4.0</v>
      </c>
      <c r="J281" s="12">
        <v>4.0</v>
      </c>
      <c r="K281" s="12">
        <v>1.0</v>
      </c>
      <c r="L281" s="6">
        <v>5.0</v>
      </c>
      <c r="M281" s="6">
        <v>5.0</v>
      </c>
      <c r="N281" s="12">
        <v>4.0</v>
      </c>
      <c r="O281" s="6">
        <v>4.0</v>
      </c>
      <c r="P281" s="6">
        <v>1.0</v>
      </c>
      <c r="Q281" s="6">
        <v>4.0</v>
      </c>
      <c r="R281" s="6">
        <v>4.0</v>
      </c>
      <c r="S281" s="6">
        <v>4.0</v>
      </c>
      <c r="T281" s="12">
        <v>4.0</v>
      </c>
      <c r="U281" s="6">
        <v>1.0</v>
      </c>
      <c r="V281" s="6">
        <v>4.0</v>
      </c>
      <c r="W281" s="12">
        <v>3.0</v>
      </c>
      <c r="X281" s="6">
        <v>5.0</v>
      </c>
      <c r="Y281" s="12">
        <v>5.0</v>
      </c>
      <c r="Z281" s="12">
        <v>3.0</v>
      </c>
      <c r="AA281" s="6">
        <v>4.0</v>
      </c>
      <c r="AB281" s="6">
        <v>4.0</v>
      </c>
      <c r="AC281" s="12">
        <v>2.0</v>
      </c>
      <c r="AD281" s="6">
        <v>4.0</v>
      </c>
      <c r="AE281" s="6">
        <v>3.0</v>
      </c>
      <c r="AF281" s="6">
        <v>4.0</v>
      </c>
      <c r="AG281" s="12">
        <v>4.0</v>
      </c>
      <c r="AH281" s="6">
        <v>4.0</v>
      </c>
      <c r="AI281" s="6">
        <v>4.0</v>
      </c>
      <c r="AJ281" s="12">
        <v>1.0</v>
      </c>
      <c r="AK281" s="12">
        <v>5.0</v>
      </c>
      <c r="AL281" s="6">
        <v>4.0</v>
      </c>
      <c r="AM281" s="12">
        <v>3.0</v>
      </c>
      <c r="AN281" s="6">
        <v>5.0</v>
      </c>
      <c r="AO281" s="6">
        <v>2.0</v>
      </c>
      <c r="AP281" s="6">
        <v>3.0</v>
      </c>
      <c r="AQ281" s="12">
        <v>5.0</v>
      </c>
      <c r="AR281" s="6">
        <v>4.0</v>
      </c>
      <c r="AS281" s="12">
        <v>2.0</v>
      </c>
      <c r="AT281" s="6">
        <v>4.0</v>
      </c>
      <c r="AV281" s="6">
        <f t="shared" si="67"/>
        <v>1.210201528</v>
      </c>
      <c r="AX281" s="6">
        <f t="shared" si="79"/>
        <v>30</v>
      </c>
      <c r="AY281" s="6"/>
      <c r="BA281" s="6">
        <f t="shared" si="80"/>
        <v>33</v>
      </c>
      <c r="BB281" s="6"/>
      <c r="BD281" s="6">
        <f t="shared" si="81"/>
        <v>36</v>
      </c>
      <c r="BE281" s="6"/>
      <c r="BG281" s="6">
        <f t="shared" si="82"/>
        <v>13</v>
      </c>
      <c r="BH281" s="6"/>
      <c r="BJ281" s="6">
        <f t="shared" si="83"/>
        <v>43</v>
      </c>
      <c r="BK281" s="6"/>
      <c r="BN281">
        <f t="shared" si="84"/>
        <v>4</v>
      </c>
      <c r="BO281">
        <f t="shared" si="85"/>
        <v>2</v>
      </c>
      <c r="BP281">
        <f t="shared" si="86"/>
        <v>2</v>
      </c>
      <c r="BQ281">
        <f t="shared" si="87"/>
        <v>-4</v>
      </c>
      <c r="BR281">
        <f t="shared" si="88"/>
        <v>2</v>
      </c>
      <c r="BZ281" s="6">
        <f t="shared" si="78"/>
        <v>0.06461527407</v>
      </c>
    </row>
    <row r="282">
      <c r="B282" s="8" t="s">
        <v>22</v>
      </c>
      <c r="C282" s="6">
        <v>5.0</v>
      </c>
      <c r="D282" s="12">
        <v>3.0</v>
      </c>
      <c r="E282" s="6">
        <v>5.0</v>
      </c>
      <c r="F282" s="6">
        <v>1.0</v>
      </c>
      <c r="G282" s="6">
        <v>5.0</v>
      </c>
      <c r="H282" s="12">
        <v>3.0</v>
      </c>
      <c r="I282" s="6">
        <v>4.0</v>
      </c>
      <c r="J282" s="12">
        <v>3.0</v>
      </c>
      <c r="K282" s="12">
        <v>2.0</v>
      </c>
      <c r="L282" s="6">
        <v>5.0</v>
      </c>
      <c r="M282" s="6">
        <v>5.0</v>
      </c>
      <c r="N282" s="12">
        <v>5.0</v>
      </c>
      <c r="O282" s="6">
        <v>5.0</v>
      </c>
      <c r="P282" s="6">
        <v>1.0</v>
      </c>
      <c r="Q282" s="6">
        <v>5.0</v>
      </c>
      <c r="R282" s="6">
        <v>4.0</v>
      </c>
      <c r="S282" s="6">
        <v>5.0</v>
      </c>
      <c r="T282" s="12">
        <v>5.0</v>
      </c>
      <c r="U282" s="6">
        <v>1.0</v>
      </c>
      <c r="V282" s="6">
        <v>5.0</v>
      </c>
      <c r="W282" s="12">
        <v>3.0</v>
      </c>
      <c r="X282" s="6">
        <v>5.0</v>
      </c>
      <c r="Y282" s="12">
        <v>4.0</v>
      </c>
      <c r="Z282" s="12">
        <v>1.0</v>
      </c>
      <c r="AA282" s="6">
        <v>5.0</v>
      </c>
      <c r="AB282" s="6">
        <v>4.0</v>
      </c>
      <c r="AC282" s="12">
        <v>5.0</v>
      </c>
      <c r="AD282" s="6">
        <v>5.0</v>
      </c>
      <c r="AE282" s="6">
        <v>4.0</v>
      </c>
      <c r="AF282" s="6">
        <v>5.0</v>
      </c>
      <c r="AG282" s="12">
        <v>2.0</v>
      </c>
      <c r="AH282" s="6">
        <v>4.0</v>
      </c>
      <c r="AI282" s="6">
        <v>4.0</v>
      </c>
      <c r="AJ282" s="12">
        <v>2.0</v>
      </c>
      <c r="AK282" s="12">
        <v>5.0</v>
      </c>
      <c r="AL282" s="6">
        <v>5.0</v>
      </c>
      <c r="AM282" s="12">
        <v>4.0</v>
      </c>
      <c r="AN282" s="6">
        <v>5.0</v>
      </c>
      <c r="AO282" s="6">
        <v>1.0</v>
      </c>
      <c r="AP282" s="6">
        <v>5.0</v>
      </c>
      <c r="AQ282" s="12">
        <v>5.0</v>
      </c>
      <c r="AR282" s="6">
        <v>5.0</v>
      </c>
      <c r="AS282" s="12">
        <v>3.0</v>
      </c>
      <c r="AT282" s="6">
        <v>5.0</v>
      </c>
      <c r="AV282" s="6">
        <f t="shared" si="67"/>
        <v>1.404274658</v>
      </c>
      <c r="AX282" s="6">
        <f t="shared" si="79"/>
        <v>31</v>
      </c>
      <c r="AY282" s="6"/>
      <c r="BA282" s="6">
        <f t="shared" si="80"/>
        <v>40</v>
      </c>
      <c r="BB282" s="6"/>
      <c r="BD282" s="6">
        <f t="shared" si="81"/>
        <v>39</v>
      </c>
      <c r="BE282" s="6"/>
      <c r="BG282" s="6">
        <f t="shared" si="82"/>
        <v>13</v>
      </c>
      <c r="BH282" s="6"/>
      <c r="BJ282" s="6">
        <f t="shared" si="83"/>
        <v>50</v>
      </c>
      <c r="BK282" s="6"/>
      <c r="BN282">
        <f t="shared" si="84"/>
        <v>3</v>
      </c>
      <c r="BO282">
        <f t="shared" si="85"/>
        <v>5</v>
      </c>
      <c r="BP282">
        <f t="shared" si="86"/>
        <v>2</v>
      </c>
      <c r="BQ282">
        <f t="shared" si="87"/>
        <v>-5</v>
      </c>
      <c r="BR282">
        <f t="shared" si="88"/>
        <v>3</v>
      </c>
      <c r="BZ282" s="6">
        <f t="shared" si="78"/>
        <v>-0.01199295569</v>
      </c>
    </row>
    <row r="283">
      <c r="B283" s="8" t="s">
        <v>23</v>
      </c>
      <c r="C283" s="6">
        <v>5.0</v>
      </c>
      <c r="D283" s="12">
        <v>2.0</v>
      </c>
      <c r="E283" s="6">
        <v>5.0</v>
      </c>
      <c r="F283" s="6">
        <v>3.0</v>
      </c>
      <c r="G283" s="6">
        <v>5.0</v>
      </c>
      <c r="H283" s="12">
        <v>4.0</v>
      </c>
      <c r="I283" s="6">
        <v>4.0</v>
      </c>
      <c r="J283" s="12">
        <v>2.0</v>
      </c>
      <c r="K283" s="12">
        <v>2.0</v>
      </c>
      <c r="L283" s="6">
        <v>5.0</v>
      </c>
      <c r="M283" s="6">
        <v>4.0</v>
      </c>
      <c r="N283" s="12">
        <v>5.0</v>
      </c>
      <c r="O283" s="6">
        <v>3.0</v>
      </c>
      <c r="P283" s="6">
        <v>4.0</v>
      </c>
      <c r="Q283" s="6">
        <v>5.0</v>
      </c>
      <c r="R283" s="6">
        <v>4.0</v>
      </c>
      <c r="S283" s="6">
        <v>4.0</v>
      </c>
      <c r="T283" s="12">
        <v>2.0</v>
      </c>
      <c r="U283" s="6">
        <v>3.0</v>
      </c>
      <c r="V283" s="6">
        <v>5.0</v>
      </c>
      <c r="W283" s="12">
        <v>4.0</v>
      </c>
      <c r="X283" s="6">
        <v>4.0</v>
      </c>
      <c r="Y283" s="12">
        <v>1.0</v>
      </c>
      <c r="Z283" s="12">
        <v>4.0</v>
      </c>
      <c r="AA283" s="6">
        <v>4.0</v>
      </c>
      <c r="AB283" s="6">
        <v>4.0</v>
      </c>
      <c r="AC283" s="12">
        <v>5.0</v>
      </c>
      <c r="AD283" s="6">
        <v>4.0</v>
      </c>
      <c r="AE283" s="6">
        <v>3.0</v>
      </c>
      <c r="AF283" s="6">
        <v>5.0</v>
      </c>
      <c r="AG283" s="12">
        <v>4.0</v>
      </c>
      <c r="AH283" s="6">
        <v>4.0</v>
      </c>
      <c r="AI283" s="6">
        <v>5.0</v>
      </c>
      <c r="AJ283" s="12">
        <v>4.0</v>
      </c>
      <c r="AK283" s="12">
        <v>5.0</v>
      </c>
      <c r="AL283" s="6">
        <v>4.0</v>
      </c>
      <c r="AM283" s="12">
        <v>3.0</v>
      </c>
      <c r="AN283" s="6">
        <v>4.0</v>
      </c>
      <c r="AO283" s="6">
        <v>2.0</v>
      </c>
      <c r="AP283" s="6">
        <v>5.0</v>
      </c>
      <c r="AQ283" s="12">
        <v>5.0</v>
      </c>
      <c r="AR283" s="6">
        <v>4.0</v>
      </c>
      <c r="AS283" s="12">
        <v>3.0</v>
      </c>
      <c r="AT283" s="6">
        <v>3.0</v>
      </c>
      <c r="AV283" s="6">
        <f t="shared" si="67"/>
        <v>1.055289706</v>
      </c>
      <c r="AX283" s="6">
        <f t="shared" si="79"/>
        <v>33</v>
      </c>
      <c r="AY283" s="6"/>
      <c r="BA283" s="6">
        <f t="shared" si="80"/>
        <v>35</v>
      </c>
      <c r="BB283" s="6"/>
      <c r="BD283" s="6">
        <f t="shared" si="81"/>
        <v>29</v>
      </c>
      <c r="BE283" s="6"/>
      <c r="BG283" s="6">
        <f t="shared" si="82"/>
        <v>25</v>
      </c>
      <c r="BH283" s="6"/>
      <c r="BJ283" s="6">
        <f t="shared" si="83"/>
        <v>47</v>
      </c>
      <c r="BK283" s="6"/>
      <c r="BN283">
        <f t="shared" si="84"/>
        <v>5</v>
      </c>
      <c r="BO283">
        <f t="shared" si="85"/>
        <v>2</v>
      </c>
      <c r="BP283">
        <f t="shared" si="86"/>
        <v>3</v>
      </c>
      <c r="BQ283">
        <f t="shared" si="87"/>
        <v>3</v>
      </c>
      <c r="BR283">
        <f t="shared" si="88"/>
        <v>0</v>
      </c>
      <c r="BZ283" s="6">
        <f t="shared" si="78"/>
        <v>-0.1921177535</v>
      </c>
    </row>
    <row r="284">
      <c r="B284" s="8" t="s">
        <v>24</v>
      </c>
      <c r="C284" s="6">
        <v>4.0</v>
      </c>
      <c r="D284" s="12">
        <v>4.0</v>
      </c>
      <c r="E284" s="6">
        <v>4.0</v>
      </c>
      <c r="F284" s="6">
        <v>1.0</v>
      </c>
      <c r="G284" s="6">
        <v>5.0</v>
      </c>
      <c r="H284" s="12">
        <v>4.0</v>
      </c>
      <c r="I284" s="6">
        <v>4.0</v>
      </c>
      <c r="J284" s="12">
        <v>2.0</v>
      </c>
      <c r="K284" s="12">
        <v>2.0</v>
      </c>
      <c r="L284" s="6">
        <v>5.0</v>
      </c>
      <c r="M284" s="6">
        <v>5.0</v>
      </c>
      <c r="N284" s="12">
        <v>4.0</v>
      </c>
      <c r="O284" s="6">
        <v>4.0</v>
      </c>
      <c r="P284" s="6">
        <v>3.0</v>
      </c>
      <c r="Q284" s="6">
        <v>4.0</v>
      </c>
      <c r="R284" s="6">
        <v>5.0</v>
      </c>
      <c r="S284" s="6">
        <v>4.0</v>
      </c>
      <c r="T284" s="12">
        <v>3.0</v>
      </c>
      <c r="U284" s="6">
        <v>2.0</v>
      </c>
      <c r="V284" s="6">
        <v>4.0</v>
      </c>
      <c r="W284" s="12">
        <v>4.0</v>
      </c>
      <c r="X284" s="6">
        <v>4.0</v>
      </c>
      <c r="Y284" s="12">
        <v>4.0</v>
      </c>
      <c r="Z284" s="12">
        <v>3.0</v>
      </c>
      <c r="AA284" s="6">
        <v>4.0</v>
      </c>
      <c r="AB284" s="6">
        <v>5.0</v>
      </c>
      <c r="AC284" s="12">
        <v>5.0</v>
      </c>
      <c r="AD284" s="6">
        <v>3.0</v>
      </c>
      <c r="AE284" s="6">
        <v>3.0</v>
      </c>
      <c r="AF284" s="6">
        <v>3.0</v>
      </c>
      <c r="AG284" s="12">
        <v>4.0</v>
      </c>
      <c r="AH284" s="6">
        <v>4.0</v>
      </c>
      <c r="AI284" s="6">
        <v>3.0</v>
      </c>
      <c r="AJ284" s="12">
        <v>2.0</v>
      </c>
      <c r="AK284" s="12">
        <v>4.0</v>
      </c>
      <c r="AL284" s="6">
        <v>5.0</v>
      </c>
      <c r="AM284" s="12">
        <v>3.0</v>
      </c>
      <c r="AN284" s="6">
        <v>4.0</v>
      </c>
      <c r="AO284" s="6">
        <v>3.0</v>
      </c>
      <c r="AP284" s="6">
        <v>4.0</v>
      </c>
      <c r="AQ284" s="12">
        <v>4.0</v>
      </c>
      <c r="AR284" s="6">
        <v>4.0</v>
      </c>
      <c r="AS284" s="12">
        <v>2.0</v>
      </c>
      <c r="AT284" s="6">
        <v>3.0</v>
      </c>
      <c r="AV284" s="6">
        <f t="shared" si="67"/>
        <v>0.9666751719</v>
      </c>
      <c r="AX284" s="6">
        <f t="shared" si="79"/>
        <v>36</v>
      </c>
      <c r="AY284" s="6"/>
      <c r="BA284" s="6">
        <f t="shared" si="80"/>
        <v>36</v>
      </c>
      <c r="BB284" s="6"/>
      <c r="BD284" s="6">
        <f t="shared" si="81"/>
        <v>29</v>
      </c>
      <c r="BE284" s="6"/>
      <c r="BG284" s="6">
        <f t="shared" si="82"/>
        <v>19</v>
      </c>
      <c r="BH284" s="6"/>
      <c r="BJ284" s="6">
        <f t="shared" si="83"/>
        <v>40</v>
      </c>
      <c r="BK284" s="6"/>
      <c r="BN284">
        <f t="shared" si="84"/>
        <v>0</v>
      </c>
      <c r="BO284">
        <f t="shared" si="85"/>
        <v>0</v>
      </c>
      <c r="BP284">
        <f t="shared" si="86"/>
        <v>-1</v>
      </c>
      <c r="BQ284">
        <f t="shared" si="87"/>
        <v>-2</v>
      </c>
      <c r="BR284">
        <f t="shared" si="88"/>
        <v>-2</v>
      </c>
      <c r="BZ284" s="6">
        <f t="shared" si="78"/>
        <v>0.02352360203</v>
      </c>
    </row>
    <row r="285">
      <c r="B285" s="8" t="s">
        <v>25</v>
      </c>
      <c r="C285" s="6">
        <v>4.0</v>
      </c>
      <c r="D285" s="12">
        <v>5.0</v>
      </c>
      <c r="E285" s="6">
        <v>5.0</v>
      </c>
      <c r="F285" s="6">
        <v>1.0</v>
      </c>
      <c r="G285" s="6">
        <v>5.0</v>
      </c>
      <c r="H285" s="12">
        <v>4.0</v>
      </c>
      <c r="I285" s="6">
        <v>5.0</v>
      </c>
      <c r="J285" s="12">
        <v>4.0</v>
      </c>
      <c r="K285" s="12">
        <v>2.0</v>
      </c>
      <c r="L285" s="6">
        <v>5.0</v>
      </c>
      <c r="M285" s="6">
        <v>4.0</v>
      </c>
      <c r="N285" s="12">
        <v>4.0</v>
      </c>
      <c r="O285" s="6">
        <v>5.0</v>
      </c>
      <c r="P285" s="6">
        <v>3.0</v>
      </c>
      <c r="Q285" s="6">
        <v>5.0</v>
      </c>
      <c r="R285" s="6">
        <v>4.0</v>
      </c>
      <c r="S285" s="6">
        <v>4.0</v>
      </c>
      <c r="T285" s="12">
        <v>4.0</v>
      </c>
      <c r="U285" s="6">
        <v>1.0</v>
      </c>
      <c r="V285" s="6">
        <v>5.0</v>
      </c>
      <c r="W285" s="12">
        <v>4.0</v>
      </c>
      <c r="X285" s="6">
        <v>5.0</v>
      </c>
      <c r="Y285" s="12">
        <v>5.0</v>
      </c>
      <c r="Z285" s="12">
        <v>3.0</v>
      </c>
      <c r="AA285" s="6">
        <v>5.0</v>
      </c>
      <c r="AB285" s="6">
        <v>3.0</v>
      </c>
      <c r="AC285" s="12">
        <v>5.0</v>
      </c>
      <c r="AD285" s="6">
        <v>5.0</v>
      </c>
      <c r="AE285" s="6">
        <v>4.0</v>
      </c>
      <c r="AF285" s="6">
        <v>5.0</v>
      </c>
      <c r="AG285" s="12">
        <v>5.0</v>
      </c>
      <c r="AH285" s="6">
        <v>4.0</v>
      </c>
      <c r="AI285" s="6">
        <v>3.0</v>
      </c>
      <c r="AJ285" s="12">
        <v>3.0</v>
      </c>
      <c r="AK285" s="12">
        <v>5.0</v>
      </c>
      <c r="AL285" s="6">
        <v>4.0</v>
      </c>
      <c r="AM285" s="12">
        <v>2.0</v>
      </c>
      <c r="AN285" s="6">
        <v>5.0</v>
      </c>
      <c r="AO285" s="6">
        <v>2.0</v>
      </c>
      <c r="AP285" s="6">
        <v>4.0</v>
      </c>
      <c r="AQ285" s="12">
        <v>5.0</v>
      </c>
      <c r="AR285" s="6">
        <v>5.0</v>
      </c>
      <c r="AS285" s="12">
        <v>3.0</v>
      </c>
      <c r="AT285" s="6">
        <v>5.0</v>
      </c>
      <c r="AV285" s="6">
        <f t="shared" si="67"/>
        <v>1.140268134</v>
      </c>
      <c r="AX285" s="6">
        <f t="shared" si="79"/>
        <v>32</v>
      </c>
      <c r="AY285" s="6"/>
      <c r="BA285" s="6">
        <f t="shared" si="80"/>
        <v>39</v>
      </c>
      <c r="BB285" s="6"/>
      <c r="BD285" s="6">
        <f t="shared" si="81"/>
        <v>39</v>
      </c>
      <c r="BE285" s="6"/>
      <c r="BG285" s="6">
        <f t="shared" si="82"/>
        <v>19</v>
      </c>
      <c r="BH285" s="6"/>
      <c r="BJ285" s="6">
        <f t="shared" si="83"/>
        <v>49</v>
      </c>
      <c r="BK285" s="6"/>
      <c r="BN285">
        <f t="shared" si="84"/>
        <v>2</v>
      </c>
      <c r="BO285">
        <f t="shared" si="85"/>
        <v>4</v>
      </c>
      <c r="BP285">
        <f t="shared" si="86"/>
        <v>1</v>
      </c>
      <c r="BQ285">
        <f t="shared" si="87"/>
        <v>-2</v>
      </c>
      <c r="BR285">
        <f t="shared" si="88"/>
        <v>1</v>
      </c>
      <c r="BZ285" s="6">
        <f t="shared" si="78"/>
        <v>0.0658687488</v>
      </c>
    </row>
    <row r="286">
      <c r="B286" s="8" t="s">
        <v>26</v>
      </c>
      <c r="C286" s="6">
        <v>4.0</v>
      </c>
      <c r="D286" s="12">
        <v>2.0</v>
      </c>
      <c r="E286" s="6">
        <v>2.0</v>
      </c>
      <c r="F286" s="6">
        <v>1.0</v>
      </c>
      <c r="G286" s="6">
        <v>5.0</v>
      </c>
      <c r="H286" s="12">
        <v>3.0</v>
      </c>
      <c r="I286" s="6">
        <v>2.0</v>
      </c>
      <c r="J286" s="12">
        <v>4.0</v>
      </c>
      <c r="K286" s="12">
        <v>4.0</v>
      </c>
      <c r="L286" s="6">
        <v>5.0</v>
      </c>
      <c r="M286" s="6">
        <v>5.0</v>
      </c>
      <c r="N286" s="12">
        <v>2.0</v>
      </c>
      <c r="O286" s="6">
        <v>3.0</v>
      </c>
      <c r="P286" s="6">
        <v>3.0</v>
      </c>
      <c r="Q286" s="6">
        <v>5.0</v>
      </c>
      <c r="R286" s="6">
        <v>4.0</v>
      </c>
      <c r="S286" s="6">
        <v>4.0</v>
      </c>
      <c r="T286" s="12">
        <v>5.0</v>
      </c>
      <c r="U286" s="6">
        <v>3.0</v>
      </c>
      <c r="V286" s="6">
        <v>5.0</v>
      </c>
      <c r="W286" s="12">
        <v>3.0</v>
      </c>
      <c r="X286" s="6">
        <v>4.0</v>
      </c>
      <c r="Y286" s="12">
        <v>2.0</v>
      </c>
      <c r="Z286" s="12">
        <v>1.0</v>
      </c>
      <c r="AA286" s="6">
        <v>5.0</v>
      </c>
      <c r="AB286" s="6">
        <v>5.0</v>
      </c>
      <c r="AC286" s="12">
        <v>3.0</v>
      </c>
      <c r="AD286" s="6">
        <v>3.0</v>
      </c>
      <c r="AE286" s="6">
        <v>3.0</v>
      </c>
      <c r="AF286" s="6">
        <v>5.0</v>
      </c>
      <c r="AG286" s="12">
        <v>3.0</v>
      </c>
      <c r="AH286" s="6">
        <v>2.0</v>
      </c>
      <c r="AI286" s="6">
        <v>4.0</v>
      </c>
      <c r="AJ286" s="12">
        <v>2.0</v>
      </c>
      <c r="AK286" s="12">
        <v>5.0</v>
      </c>
      <c r="AL286" s="6">
        <v>2.0</v>
      </c>
      <c r="AM286" s="12">
        <v>2.0</v>
      </c>
      <c r="AN286" s="6">
        <v>4.0</v>
      </c>
      <c r="AO286" s="6">
        <v>4.0</v>
      </c>
      <c r="AP286" s="6">
        <v>5.0</v>
      </c>
      <c r="AQ286" s="12">
        <v>5.0</v>
      </c>
      <c r="AR286" s="6">
        <v>3.0</v>
      </c>
      <c r="AS286" s="12">
        <v>1.0</v>
      </c>
      <c r="AT286" s="6">
        <v>5.0</v>
      </c>
      <c r="AV286" s="6">
        <f t="shared" si="67"/>
        <v>1.302136803</v>
      </c>
      <c r="AX286" s="6">
        <f t="shared" si="79"/>
        <v>29</v>
      </c>
      <c r="AY286" s="6"/>
      <c r="BA286" s="6">
        <f t="shared" si="80"/>
        <v>24</v>
      </c>
      <c r="BB286" s="6"/>
      <c r="BD286" s="6">
        <f t="shared" si="81"/>
        <v>28</v>
      </c>
      <c r="BE286" s="6"/>
      <c r="BG286" s="6">
        <f t="shared" si="82"/>
        <v>21</v>
      </c>
      <c r="BH286" s="6"/>
      <c r="BJ286" s="6">
        <f t="shared" si="83"/>
        <v>50</v>
      </c>
      <c r="BK286" s="6"/>
      <c r="BN286">
        <f t="shared" si="84"/>
        <v>0</v>
      </c>
      <c r="BO286">
        <f t="shared" si="85"/>
        <v>2</v>
      </c>
      <c r="BP286">
        <f t="shared" si="86"/>
        <v>-2</v>
      </c>
      <c r="BQ286">
        <f t="shared" si="87"/>
        <v>-3</v>
      </c>
      <c r="BR286">
        <f t="shared" si="88"/>
        <v>1</v>
      </c>
      <c r="BZ286" s="6">
        <f t="shared" si="78"/>
        <v>-0.1842353999</v>
      </c>
    </row>
    <row r="287">
      <c r="B287" s="9" t="s">
        <v>27</v>
      </c>
      <c r="C287" s="6">
        <v>5.0</v>
      </c>
      <c r="D287" s="12">
        <v>4.0</v>
      </c>
      <c r="E287" s="6">
        <v>5.0</v>
      </c>
      <c r="F287" s="6">
        <v>1.0</v>
      </c>
      <c r="G287" s="6">
        <v>4.0</v>
      </c>
      <c r="H287" s="12">
        <v>5.0</v>
      </c>
      <c r="I287" s="6">
        <v>5.0</v>
      </c>
      <c r="J287" s="12">
        <v>4.0</v>
      </c>
      <c r="K287" s="12">
        <v>2.0</v>
      </c>
      <c r="L287" s="6">
        <v>5.0</v>
      </c>
      <c r="M287" s="6">
        <v>4.0</v>
      </c>
      <c r="N287" s="12">
        <v>4.0</v>
      </c>
      <c r="O287" s="6">
        <v>5.0</v>
      </c>
      <c r="P287" s="6">
        <v>3.0</v>
      </c>
      <c r="Q287" s="6">
        <v>4.0</v>
      </c>
      <c r="R287" s="6">
        <v>5.0</v>
      </c>
      <c r="S287" s="6">
        <v>5.0</v>
      </c>
      <c r="T287" s="12">
        <v>5.0</v>
      </c>
      <c r="U287" s="6">
        <v>3.0</v>
      </c>
      <c r="V287" s="6">
        <v>5.0</v>
      </c>
      <c r="W287" s="12">
        <v>5.0</v>
      </c>
      <c r="X287" s="6">
        <v>4.0</v>
      </c>
      <c r="Y287" s="12">
        <v>2.0</v>
      </c>
      <c r="Z287" s="12">
        <v>2.0</v>
      </c>
      <c r="AA287" s="6">
        <v>4.0</v>
      </c>
      <c r="AB287" s="6">
        <v>4.0</v>
      </c>
      <c r="AC287" s="12">
        <v>5.0</v>
      </c>
      <c r="AD287" s="6">
        <v>5.0</v>
      </c>
      <c r="AE287" s="6">
        <v>4.0</v>
      </c>
      <c r="AF287" s="6">
        <v>4.0</v>
      </c>
      <c r="AG287" s="12">
        <v>4.0</v>
      </c>
      <c r="AH287" s="6">
        <v>5.0</v>
      </c>
      <c r="AI287" s="6">
        <v>5.0</v>
      </c>
      <c r="AJ287" s="12">
        <v>2.0</v>
      </c>
      <c r="AK287" s="12">
        <v>4.0</v>
      </c>
      <c r="AL287" s="6">
        <v>5.0</v>
      </c>
      <c r="AM287" s="12">
        <v>4.0</v>
      </c>
      <c r="AN287" s="6">
        <v>5.0</v>
      </c>
      <c r="AO287" s="6">
        <v>3.0</v>
      </c>
      <c r="AP287" s="6">
        <v>5.0</v>
      </c>
      <c r="AQ287" s="12">
        <v>5.0</v>
      </c>
      <c r="AR287" s="6">
        <v>5.0</v>
      </c>
      <c r="AS287" s="12">
        <v>3.0</v>
      </c>
      <c r="AT287" s="6">
        <v>5.0</v>
      </c>
      <c r="AV287" s="6">
        <f t="shared" si="67"/>
        <v>1.069468659</v>
      </c>
      <c r="AX287" s="6">
        <f t="shared" si="79"/>
        <v>37</v>
      </c>
      <c r="AY287" s="6"/>
      <c r="BA287" s="6">
        <f t="shared" si="80"/>
        <v>41</v>
      </c>
      <c r="BB287" s="6"/>
      <c r="BD287" s="6">
        <f t="shared" si="81"/>
        <v>39</v>
      </c>
      <c r="BE287" s="6"/>
      <c r="BG287" s="6">
        <f t="shared" si="82"/>
        <v>20</v>
      </c>
      <c r="BH287" s="6"/>
      <c r="BJ287" s="6">
        <f t="shared" si="83"/>
        <v>45</v>
      </c>
      <c r="BK287" s="6"/>
      <c r="BN287">
        <f t="shared" si="84"/>
        <v>5</v>
      </c>
      <c r="BO287">
        <f t="shared" si="85"/>
        <v>0</v>
      </c>
      <c r="BP287">
        <f t="shared" si="86"/>
        <v>0</v>
      </c>
      <c r="BQ287">
        <f t="shared" si="87"/>
        <v>2</v>
      </c>
      <c r="BR287">
        <f t="shared" si="88"/>
        <v>2</v>
      </c>
      <c r="BZ287" s="6">
        <f t="shared" si="78"/>
        <v>-0.01740283277</v>
      </c>
    </row>
    <row r="288">
      <c r="B288" s="9" t="s">
        <v>28</v>
      </c>
      <c r="C288" s="6">
        <v>5.0</v>
      </c>
      <c r="D288" s="12">
        <v>4.0</v>
      </c>
      <c r="E288" s="6">
        <v>4.0</v>
      </c>
      <c r="F288" s="6">
        <v>2.0</v>
      </c>
      <c r="G288" s="6">
        <v>4.0</v>
      </c>
      <c r="H288" s="12">
        <v>4.0</v>
      </c>
      <c r="I288" s="6">
        <v>5.0</v>
      </c>
      <c r="J288" s="12">
        <v>4.0</v>
      </c>
      <c r="K288" s="12">
        <v>2.0</v>
      </c>
      <c r="L288" s="6">
        <v>5.0</v>
      </c>
      <c r="M288" s="6">
        <v>5.0</v>
      </c>
      <c r="N288" s="12">
        <v>4.0</v>
      </c>
      <c r="O288" s="6">
        <v>5.0</v>
      </c>
      <c r="P288" s="6">
        <v>1.0</v>
      </c>
      <c r="Q288" s="6">
        <v>4.0</v>
      </c>
      <c r="R288" s="6">
        <v>4.0</v>
      </c>
      <c r="S288" s="6">
        <v>5.0</v>
      </c>
      <c r="T288" s="12">
        <v>5.0</v>
      </c>
      <c r="U288" s="6">
        <v>3.0</v>
      </c>
      <c r="V288" s="6">
        <v>4.0</v>
      </c>
      <c r="W288" s="12">
        <v>4.0</v>
      </c>
      <c r="X288" s="6">
        <v>5.0</v>
      </c>
      <c r="Y288" s="12">
        <v>5.0</v>
      </c>
      <c r="Z288" s="12">
        <v>3.0</v>
      </c>
      <c r="AA288" s="6">
        <v>4.0</v>
      </c>
      <c r="AB288" s="6">
        <v>4.0</v>
      </c>
      <c r="AC288" s="12">
        <v>4.0</v>
      </c>
      <c r="AD288" s="6">
        <v>4.0</v>
      </c>
      <c r="AE288" s="6">
        <v>5.0</v>
      </c>
      <c r="AF288" s="6">
        <v>5.0</v>
      </c>
      <c r="AG288" s="12">
        <v>2.0</v>
      </c>
      <c r="AH288" s="6">
        <v>4.0</v>
      </c>
      <c r="AI288" s="6">
        <v>5.0</v>
      </c>
      <c r="AJ288" s="12">
        <v>2.0</v>
      </c>
      <c r="AK288" s="12">
        <v>5.0</v>
      </c>
      <c r="AL288" s="6">
        <v>4.0</v>
      </c>
      <c r="AM288" s="12">
        <v>2.0</v>
      </c>
      <c r="AN288" s="6">
        <v>4.0</v>
      </c>
      <c r="AO288" s="6">
        <v>2.0</v>
      </c>
      <c r="AP288" s="6">
        <v>5.0</v>
      </c>
      <c r="AQ288" s="12">
        <v>5.0</v>
      </c>
      <c r="AR288" s="6">
        <v>5.0</v>
      </c>
      <c r="AS288" s="12">
        <v>2.0</v>
      </c>
      <c r="AT288" s="6">
        <v>5.0</v>
      </c>
      <c r="AV288" s="6">
        <f t="shared" si="67"/>
        <v>1.140268134</v>
      </c>
      <c r="AX288" s="6">
        <f t="shared" si="79"/>
        <v>32</v>
      </c>
      <c r="AY288" s="6"/>
      <c r="BA288" s="6">
        <f t="shared" si="80"/>
        <v>38</v>
      </c>
      <c r="BB288" s="6"/>
      <c r="BD288" s="6">
        <f t="shared" si="81"/>
        <v>38</v>
      </c>
      <c r="BE288" s="6"/>
      <c r="BG288" s="6">
        <f t="shared" si="82"/>
        <v>20</v>
      </c>
      <c r="BH288" s="6"/>
      <c r="BJ288" s="6">
        <f t="shared" si="83"/>
        <v>46</v>
      </c>
      <c r="BK288" s="6"/>
      <c r="BN288">
        <f t="shared" si="84"/>
        <v>0</v>
      </c>
      <c r="BO288">
        <f t="shared" si="85"/>
        <v>1</v>
      </c>
      <c r="BP288">
        <f t="shared" si="86"/>
        <v>-2</v>
      </c>
      <c r="BQ288">
        <f t="shared" si="87"/>
        <v>-2</v>
      </c>
      <c r="BR288">
        <f t="shared" si="88"/>
        <v>2</v>
      </c>
      <c r="BZ288" s="6">
        <f t="shared" si="78"/>
        <v>0.09504341393</v>
      </c>
    </row>
    <row r="289">
      <c r="B289" s="8" t="s">
        <v>29</v>
      </c>
      <c r="C289" s="6">
        <v>3.0</v>
      </c>
      <c r="D289" s="12">
        <v>2.0</v>
      </c>
      <c r="E289" s="6">
        <v>4.0</v>
      </c>
      <c r="F289" s="6">
        <v>1.0</v>
      </c>
      <c r="G289" s="6">
        <v>5.0</v>
      </c>
      <c r="H289" s="12">
        <v>4.0</v>
      </c>
      <c r="I289" s="6">
        <v>4.0</v>
      </c>
      <c r="J289" s="12">
        <v>4.0</v>
      </c>
      <c r="K289" s="12">
        <v>1.0</v>
      </c>
      <c r="L289" s="6">
        <v>5.0</v>
      </c>
      <c r="M289" s="6">
        <v>4.0</v>
      </c>
      <c r="N289" s="12">
        <v>5.0</v>
      </c>
      <c r="O289" s="6">
        <v>5.0</v>
      </c>
      <c r="P289" s="6">
        <v>3.0</v>
      </c>
      <c r="Q289" s="6">
        <v>4.0</v>
      </c>
      <c r="R289" s="6">
        <v>2.0</v>
      </c>
      <c r="S289" s="6">
        <v>4.0</v>
      </c>
      <c r="T289" s="12">
        <v>4.0</v>
      </c>
      <c r="U289" s="6">
        <v>2.0</v>
      </c>
      <c r="V289" s="6">
        <v>4.0</v>
      </c>
      <c r="W289" s="12">
        <v>3.0</v>
      </c>
      <c r="X289" s="6">
        <v>5.0</v>
      </c>
      <c r="Y289" s="12">
        <v>3.0</v>
      </c>
      <c r="Z289" s="12">
        <v>2.0</v>
      </c>
      <c r="AA289" s="6">
        <v>5.0</v>
      </c>
      <c r="AB289" s="6">
        <v>4.0</v>
      </c>
      <c r="AC289" s="12">
        <v>4.0</v>
      </c>
      <c r="AD289" s="6">
        <v>5.0</v>
      </c>
      <c r="AE289" s="6">
        <v>1.0</v>
      </c>
      <c r="AF289" s="6">
        <v>5.0</v>
      </c>
      <c r="AG289" s="12">
        <v>2.0</v>
      </c>
      <c r="AH289" s="6">
        <v>5.0</v>
      </c>
      <c r="AI289" s="6">
        <v>4.0</v>
      </c>
      <c r="AJ289" s="12">
        <v>2.0</v>
      </c>
      <c r="AK289" s="12">
        <v>5.0</v>
      </c>
      <c r="AL289" s="6">
        <v>4.0</v>
      </c>
      <c r="AM289" s="12">
        <v>4.0</v>
      </c>
      <c r="AN289" s="6">
        <v>4.0</v>
      </c>
      <c r="AO289" s="6">
        <v>2.0</v>
      </c>
      <c r="AP289" s="6">
        <v>4.0</v>
      </c>
      <c r="AQ289" s="12">
        <v>5.0</v>
      </c>
      <c r="AR289" s="6">
        <v>4.0</v>
      </c>
      <c r="AS289" s="12">
        <v>2.0</v>
      </c>
      <c r="AT289" s="6">
        <v>4.0</v>
      </c>
      <c r="AV289" s="6">
        <f t="shared" si="67"/>
        <v>1.244862593</v>
      </c>
      <c r="AX289" s="6">
        <f t="shared" si="79"/>
        <v>26</v>
      </c>
      <c r="AY289" s="6"/>
      <c r="BA289" s="6">
        <f t="shared" si="80"/>
        <v>37</v>
      </c>
      <c r="BB289" s="6"/>
      <c r="BD289" s="6">
        <f t="shared" si="81"/>
        <v>35</v>
      </c>
      <c r="BE289" s="6"/>
      <c r="BG289" s="6">
        <f t="shared" si="82"/>
        <v>14</v>
      </c>
      <c r="BH289" s="6"/>
      <c r="BJ289" s="6">
        <f t="shared" si="83"/>
        <v>46</v>
      </c>
      <c r="BK289" s="6"/>
      <c r="BN289">
        <f t="shared" si="84"/>
        <v>-1</v>
      </c>
      <c r="BO289">
        <f t="shared" si="85"/>
        <v>2</v>
      </c>
      <c r="BP289">
        <f t="shared" si="86"/>
        <v>1</v>
      </c>
      <c r="BQ289">
        <f t="shared" si="87"/>
        <v>-1</v>
      </c>
      <c r="BR289">
        <f t="shared" si="88"/>
        <v>-1</v>
      </c>
      <c r="BZ289" s="6">
        <f t="shared" si="78"/>
        <v>-0.1580941158</v>
      </c>
    </row>
    <row r="290">
      <c r="B290" s="8" t="s">
        <v>30</v>
      </c>
      <c r="C290" s="6">
        <v>4.0</v>
      </c>
      <c r="D290" s="12">
        <v>3.0</v>
      </c>
      <c r="E290" s="6">
        <v>3.0</v>
      </c>
      <c r="F290" s="6">
        <v>1.0</v>
      </c>
      <c r="G290" s="6">
        <v>5.0</v>
      </c>
      <c r="H290" s="12">
        <v>3.0</v>
      </c>
      <c r="I290" s="6">
        <v>4.0</v>
      </c>
      <c r="J290" s="12">
        <v>3.0</v>
      </c>
      <c r="K290" s="12">
        <v>2.0</v>
      </c>
      <c r="L290" s="6">
        <v>5.0</v>
      </c>
      <c r="M290" s="6">
        <v>4.0</v>
      </c>
      <c r="N290" s="12">
        <v>5.0</v>
      </c>
      <c r="O290" s="6">
        <v>4.0</v>
      </c>
      <c r="P290" s="6">
        <v>1.0</v>
      </c>
      <c r="Q290" s="6">
        <v>5.0</v>
      </c>
      <c r="R290" s="6">
        <v>4.0</v>
      </c>
      <c r="S290" s="6">
        <v>4.0</v>
      </c>
      <c r="T290" s="12">
        <v>3.0</v>
      </c>
      <c r="U290" s="6">
        <v>4.0</v>
      </c>
      <c r="V290" s="6">
        <v>5.0</v>
      </c>
      <c r="W290" s="12">
        <v>3.0</v>
      </c>
      <c r="X290" s="6">
        <v>4.0</v>
      </c>
      <c r="Y290" s="12">
        <v>3.0</v>
      </c>
      <c r="Z290" s="12">
        <v>4.0</v>
      </c>
      <c r="AA290" s="6">
        <v>5.0</v>
      </c>
      <c r="AB290" s="6">
        <v>4.0</v>
      </c>
      <c r="AC290" s="12">
        <v>5.0</v>
      </c>
      <c r="AD290" s="6">
        <v>4.0</v>
      </c>
      <c r="AE290" s="6">
        <v>2.0</v>
      </c>
      <c r="AF290" s="6">
        <v>5.0</v>
      </c>
      <c r="AG290" s="12">
        <v>4.0</v>
      </c>
      <c r="AH290" s="6">
        <v>4.0</v>
      </c>
      <c r="AI290" s="6">
        <v>4.0</v>
      </c>
      <c r="AJ290" s="12">
        <v>2.0</v>
      </c>
      <c r="AK290" s="12">
        <v>3.0</v>
      </c>
      <c r="AL290" s="6">
        <v>4.0</v>
      </c>
      <c r="AM290" s="12">
        <v>4.0</v>
      </c>
      <c r="AN290" s="6">
        <v>4.0</v>
      </c>
      <c r="AO290" s="6">
        <v>3.0</v>
      </c>
      <c r="AP290" s="6">
        <v>4.0</v>
      </c>
      <c r="AQ290" s="12">
        <v>5.0</v>
      </c>
      <c r="AR290" s="6">
        <v>4.0</v>
      </c>
      <c r="AS290" s="12">
        <v>3.0</v>
      </c>
      <c r="AT290" s="6">
        <v>5.0</v>
      </c>
      <c r="AV290" s="6">
        <f t="shared" si="67"/>
        <v>1.042439812</v>
      </c>
      <c r="AX290" s="6">
        <f t="shared" si="79"/>
        <v>30</v>
      </c>
      <c r="AY290" s="6"/>
      <c r="BA290" s="6">
        <f t="shared" si="80"/>
        <v>37</v>
      </c>
      <c r="BB290" s="6"/>
      <c r="BD290" s="6">
        <f t="shared" si="81"/>
        <v>31</v>
      </c>
      <c r="BE290" s="6"/>
      <c r="BG290" s="6">
        <f t="shared" si="82"/>
        <v>19</v>
      </c>
      <c r="BH290" s="6"/>
      <c r="BJ290" s="6">
        <f t="shared" si="83"/>
        <v>47</v>
      </c>
      <c r="BK290" s="6"/>
      <c r="BN290">
        <f t="shared" si="84"/>
        <v>1</v>
      </c>
      <c r="BO290">
        <f t="shared" si="85"/>
        <v>5</v>
      </c>
      <c r="BP290">
        <f t="shared" si="86"/>
        <v>1</v>
      </c>
      <c r="BQ290">
        <f t="shared" si="87"/>
        <v>0</v>
      </c>
      <c r="BR290">
        <f t="shared" si="88"/>
        <v>2</v>
      </c>
      <c r="BZ290" s="6">
        <f t="shared" si="78"/>
        <v>0.01970666635</v>
      </c>
    </row>
    <row r="291">
      <c r="B291" s="8" t="s">
        <v>31</v>
      </c>
      <c r="C291" s="6">
        <v>4.0</v>
      </c>
      <c r="D291" s="12">
        <v>2.0</v>
      </c>
      <c r="E291" s="6">
        <v>3.0</v>
      </c>
      <c r="F291" s="6">
        <v>3.0</v>
      </c>
      <c r="G291" s="6">
        <v>4.0</v>
      </c>
      <c r="H291" s="12">
        <v>3.0</v>
      </c>
      <c r="I291" s="6">
        <v>3.0</v>
      </c>
      <c r="J291" s="12">
        <v>1.0</v>
      </c>
      <c r="K291" s="12">
        <v>5.0</v>
      </c>
      <c r="L291" s="6">
        <v>5.0</v>
      </c>
      <c r="M291" s="6">
        <v>1.0</v>
      </c>
      <c r="N291" s="12">
        <v>5.0</v>
      </c>
      <c r="O291" s="6">
        <v>3.0</v>
      </c>
      <c r="P291" s="6">
        <v>3.0</v>
      </c>
      <c r="Q291" s="6">
        <v>4.0</v>
      </c>
      <c r="R291" s="6">
        <v>1.0</v>
      </c>
      <c r="S291" s="6">
        <v>2.0</v>
      </c>
      <c r="T291" s="12">
        <v>1.0</v>
      </c>
      <c r="U291" s="6">
        <v>5.0</v>
      </c>
      <c r="V291" s="6">
        <v>3.0</v>
      </c>
      <c r="W291" s="12">
        <v>4.0</v>
      </c>
      <c r="X291" s="6">
        <v>3.0</v>
      </c>
      <c r="Y291" s="12">
        <v>2.0</v>
      </c>
      <c r="Z291" s="12">
        <v>4.0</v>
      </c>
      <c r="AA291" s="6">
        <v>3.0</v>
      </c>
      <c r="AB291" s="6">
        <v>3.0</v>
      </c>
      <c r="AC291" s="12">
        <v>4.0</v>
      </c>
      <c r="AD291" s="6">
        <v>4.0</v>
      </c>
      <c r="AE291" s="6">
        <v>4.0</v>
      </c>
      <c r="AF291" s="6">
        <v>5.0</v>
      </c>
      <c r="AG291" s="12">
        <v>3.0</v>
      </c>
      <c r="AH291" s="6">
        <v>2.0</v>
      </c>
      <c r="AI291" s="6">
        <v>2.0</v>
      </c>
      <c r="AJ291" s="12">
        <v>5.0</v>
      </c>
      <c r="AK291" s="12">
        <v>2.0</v>
      </c>
      <c r="AL291" s="6">
        <v>4.0</v>
      </c>
      <c r="AM291" s="12">
        <v>4.0</v>
      </c>
      <c r="AN291" s="6">
        <v>5.0</v>
      </c>
      <c r="AO291" s="6">
        <v>5.0</v>
      </c>
      <c r="AP291" s="6">
        <v>5.0</v>
      </c>
      <c r="AQ291" s="12">
        <v>5.0</v>
      </c>
      <c r="AR291" s="6">
        <v>2.0</v>
      </c>
      <c r="AS291" s="12">
        <v>2.0</v>
      </c>
      <c r="AT291" s="6">
        <v>5.0</v>
      </c>
      <c r="AV291" s="6">
        <f t="shared" si="67"/>
        <v>1.295626078</v>
      </c>
      <c r="AX291" s="6">
        <f t="shared" si="79"/>
        <v>23</v>
      </c>
      <c r="AY291" s="6"/>
      <c r="BA291" s="6">
        <f t="shared" si="80"/>
        <v>27</v>
      </c>
      <c r="BB291" s="6"/>
      <c r="BD291" s="6">
        <f t="shared" si="81"/>
        <v>23</v>
      </c>
      <c r="BE291" s="6"/>
      <c r="BG291" s="6">
        <f t="shared" si="82"/>
        <v>34</v>
      </c>
      <c r="BH291" s="6"/>
      <c r="BJ291" s="6">
        <f t="shared" si="83"/>
        <v>41</v>
      </c>
      <c r="BK291" s="6"/>
      <c r="BN291">
        <f t="shared" si="84"/>
        <v>-5</v>
      </c>
      <c r="BO291">
        <f t="shared" si="85"/>
        <v>0</v>
      </c>
      <c r="BP291">
        <f t="shared" si="86"/>
        <v>-3</v>
      </c>
      <c r="BQ291">
        <f t="shared" si="87"/>
        <v>2</v>
      </c>
      <c r="BR291">
        <f t="shared" si="88"/>
        <v>-1</v>
      </c>
      <c r="BZ291" s="6">
        <f t="shared" si="78"/>
        <v>0.2068111396</v>
      </c>
    </row>
    <row r="292">
      <c r="B292" s="8" t="s">
        <v>32</v>
      </c>
      <c r="C292" s="6">
        <v>4.0</v>
      </c>
      <c r="D292" s="12">
        <v>1.0</v>
      </c>
      <c r="E292" s="6">
        <v>4.0</v>
      </c>
      <c r="F292" s="6">
        <v>3.0</v>
      </c>
      <c r="G292" s="6">
        <v>4.0</v>
      </c>
      <c r="H292" s="12">
        <v>1.0</v>
      </c>
      <c r="I292" s="6">
        <v>5.0</v>
      </c>
      <c r="J292" s="12">
        <v>1.0</v>
      </c>
      <c r="K292" s="12">
        <v>2.0</v>
      </c>
      <c r="L292" s="6">
        <v>5.0</v>
      </c>
      <c r="M292" s="6">
        <v>3.0</v>
      </c>
      <c r="N292" s="12">
        <v>5.0</v>
      </c>
      <c r="O292" s="6">
        <v>3.0</v>
      </c>
      <c r="P292" s="6">
        <v>3.0</v>
      </c>
      <c r="Q292" s="6">
        <v>4.0</v>
      </c>
      <c r="R292" s="6">
        <v>4.0</v>
      </c>
      <c r="S292" s="6">
        <v>5.0</v>
      </c>
      <c r="T292" s="12">
        <v>2.0</v>
      </c>
      <c r="U292" s="6">
        <v>1.0</v>
      </c>
      <c r="V292" s="6">
        <v>5.0</v>
      </c>
      <c r="W292" s="12">
        <v>3.0</v>
      </c>
      <c r="X292" s="6">
        <v>4.0</v>
      </c>
      <c r="Y292" s="12">
        <v>2.0</v>
      </c>
      <c r="Z292" s="12">
        <v>1.0</v>
      </c>
      <c r="AA292" s="6">
        <v>5.0</v>
      </c>
      <c r="AB292" s="6">
        <v>4.0</v>
      </c>
      <c r="AC292" s="12">
        <v>2.0</v>
      </c>
      <c r="AD292" s="6">
        <v>5.0</v>
      </c>
      <c r="AE292" s="6">
        <v>4.0</v>
      </c>
      <c r="AF292" s="6">
        <v>5.0</v>
      </c>
      <c r="AG292" s="12">
        <v>2.0</v>
      </c>
      <c r="AH292" s="6">
        <v>5.0</v>
      </c>
      <c r="AI292" s="6">
        <v>4.0</v>
      </c>
      <c r="AJ292" s="12">
        <v>1.0</v>
      </c>
      <c r="AK292" s="12">
        <v>4.0</v>
      </c>
      <c r="AL292" s="6">
        <v>4.0</v>
      </c>
      <c r="AM292" s="12">
        <v>2.0</v>
      </c>
      <c r="AN292" s="6">
        <v>4.0</v>
      </c>
      <c r="AO292" s="6">
        <v>1.0</v>
      </c>
      <c r="AP292" s="6">
        <v>5.0</v>
      </c>
      <c r="AQ292" s="12">
        <v>5.0</v>
      </c>
      <c r="AR292" s="6">
        <v>4.0</v>
      </c>
      <c r="AS292" s="12">
        <v>1.0</v>
      </c>
      <c r="AT292" s="6">
        <v>4.0</v>
      </c>
      <c r="AV292" s="6">
        <f t="shared" si="67"/>
        <v>1.459097001</v>
      </c>
      <c r="AX292" s="6">
        <f t="shared" si="79"/>
        <v>25</v>
      </c>
      <c r="AY292" s="6"/>
      <c r="BA292" s="6">
        <f t="shared" si="80"/>
        <v>33</v>
      </c>
      <c r="BB292" s="6"/>
      <c r="BD292" s="6">
        <f t="shared" si="81"/>
        <v>26</v>
      </c>
      <c r="BE292" s="6"/>
      <c r="BG292" s="6">
        <f t="shared" si="82"/>
        <v>16</v>
      </c>
      <c r="BH292" s="6"/>
      <c r="BJ292" s="6">
        <f t="shared" si="83"/>
        <v>46</v>
      </c>
      <c r="BK292" s="6"/>
      <c r="BN292">
        <f t="shared" si="84"/>
        <v>7</v>
      </c>
      <c r="BO292">
        <f t="shared" si="85"/>
        <v>4</v>
      </c>
      <c r="BP292">
        <f t="shared" si="86"/>
        <v>2</v>
      </c>
      <c r="BQ292">
        <f t="shared" si="87"/>
        <v>-7</v>
      </c>
      <c r="BR292">
        <f t="shared" si="88"/>
        <v>0</v>
      </c>
      <c r="BZ292" s="6">
        <f t="shared" si="78"/>
        <v>0.02410689076</v>
      </c>
    </row>
    <row r="293">
      <c r="B293" s="8" t="s">
        <v>33</v>
      </c>
      <c r="C293" s="6">
        <v>5.0</v>
      </c>
      <c r="D293" s="12">
        <v>4.0</v>
      </c>
      <c r="E293" s="6">
        <v>3.0</v>
      </c>
      <c r="F293" s="6">
        <v>2.0</v>
      </c>
      <c r="G293" s="6">
        <v>5.0</v>
      </c>
      <c r="H293" s="12">
        <v>4.0</v>
      </c>
      <c r="I293" s="6">
        <v>4.0</v>
      </c>
      <c r="J293" s="12">
        <v>2.0</v>
      </c>
      <c r="K293" s="12">
        <v>2.0</v>
      </c>
      <c r="L293" s="6">
        <v>5.0</v>
      </c>
      <c r="M293" s="6">
        <v>3.0</v>
      </c>
      <c r="N293" s="12">
        <v>3.0</v>
      </c>
      <c r="O293" s="6">
        <v>4.0</v>
      </c>
      <c r="P293" s="6">
        <v>2.0</v>
      </c>
      <c r="Q293" s="6">
        <v>5.0</v>
      </c>
      <c r="R293" s="6">
        <v>4.0</v>
      </c>
      <c r="S293" s="6">
        <v>4.0</v>
      </c>
      <c r="T293" s="12">
        <v>2.0</v>
      </c>
      <c r="U293" s="6">
        <v>2.0</v>
      </c>
      <c r="V293" s="6">
        <v>5.0</v>
      </c>
      <c r="W293" s="12">
        <v>4.0</v>
      </c>
      <c r="X293" s="6">
        <v>4.0</v>
      </c>
      <c r="Y293" s="12">
        <v>3.0</v>
      </c>
      <c r="Z293" s="12">
        <v>3.0</v>
      </c>
      <c r="AA293" s="6">
        <v>5.0</v>
      </c>
      <c r="AB293" s="6">
        <v>3.0</v>
      </c>
      <c r="AC293" s="12">
        <v>5.0</v>
      </c>
      <c r="AD293" s="6">
        <v>4.0</v>
      </c>
      <c r="AE293" s="6">
        <v>3.0</v>
      </c>
      <c r="AF293" s="6">
        <v>5.0</v>
      </c>
      <c r="AG293" s="12">
        <v>3.0</v>
      </c>
      <c r="AH293" s="6">
        <v>3.0</v>
      </c>
      <c r="AI293" s="6">
        <v>3.0</v>
      </c>
      <c r="AJ293" s="12">
        <v>2.0</v>
      </c>
      <c r="AK293" s="12">
        <v>4.0</v>
      </c>
      <c r="AL293" s="6">
        <v>5.0</v>
      </c>
      <c r="AM293" s="12">
        <v>3.0</v>
      </c>
      <c r="AN293" s="6">
        <v>2.0</v>
      </c>
      <c r="AO293" s="6">
        <v>2.0</v>
      </c>
      <c r="AP293" s="6">
        <v>4.0</v>
      </c>
      <c r="AQ293" s="12">
        <v>5.0</v>
      </c>
      <c r="AR293" s="6">
        <v>5.0</v>
      </c>
      <c r="AS293" s="12">
        <v>3.0</v>
      </c>
      <c r="AT293" s="6">
        <v>4.0</v>
      </c>
      <c r="AV293" s="6">
        <f t="shared" si="67"/>
        <v>1.086871492</v>
      </c>
      <c r="AX293" s="6">
        <f t="shared" si="79"/>
        <v>31</v>
      </c>
      <c r="AY293" s="6"/>
      <c r="BA293" s="6">
        <f t="shared" si="80"/>
        <v>35</v>
      </c>
      <c r="BB293" s="6"/>
      <c r="BD293" s="6">
        <f t="shared" si="81"/>
        <v>26</v>
      </c>
      <c r="BE293" s="6"/>
      <c r="BG293" s="6">
        <f t="shared" si="82"/>
        <v>18</v>
      </c>
      <c r="BH293" s="6"/>
      <c r="BJ293" s="6">
        <f t="shared" si="83"/>
        <v>47</v>
      </c>
      <c r="BK293" s="6"/>
      <c r="BN293">
        <f t="shared" si="84"/>
        <v>-1</v>
      </c>
      <c r="BO293">
        <f t="shared" si="85"/>
        <v>0</v>
      </c>
      <c r="BP293">
        <f t="shared" si="86"/>
        <v>3</v>
      </c>
      <c r="BQ293">
        <f t="shared" si="87"/>
        <v>-2</v>
      </c>
      <c r="BR293">
        <f t="shared" si="88"/>
        <v>-1</v>
      </c>
      <c r="BZ293" s="6">
        <f t="shared" si="78"/>
        <v>-0.1579911007</v>
      </c>
    </row>
    <row r="294">
      <c r="B294" s="8" t="s">
        <v>34</v>
      </c>
      <c r="C294" s="6">
        <v>5.0</v>
      </c>
      <c r="D294" s="12">
        <v>3.0</v>
      </c>
      <c r="E294" s="6">
        <v>4.0</v>
      </c>
      <c r="F294" s="6">
        <v>1.0</v>
      </c>
      <c r="G294" s="6">
        <v>4.0</v>
      </c>
      <c r="H294" s="12">
        <v>4.0</v>
      </c>
      <c r="I294" s="6">
        <v>5.0</v>
      </c>
      <c r="J294" s="12">
        <v>2.0</v>
      </c>
      <c r="K294" s="12">
        <v>1.0</v>
      </c>
      <c r="L294" s="6">
        <v>5.0</v>
      </c>
      <c r="M294" s="6">
        <v>4.0</v>
      </c>
      <c r="N294" s="12">
        <v>3.0</v>
      </c>
      <c r="O294" s="6">
        <v>4.0</v>
      </c>
      <c r="P294" s="6">
        <v>2.0</v>
      </c>
      <c r="Q294" s="6">
        <v>5.0</v>
      </c>
      <c r="R294" s="6">
        <v>3.0</v>
      </c>
      <c r="S294" s="6">
        <v>5.0</v>
      </c>
      <c r="T294" s="12">
        <v>3.0</v>
      </c>
      <c r="U294" s="6">
        <v>2.0</v>
      </c>
      <c r="V294" s="6">
        <v>4.0</v>
      </c>
      <c r="W294" s="12">
        <v>4.0</v>
      </c>
      <c r="X294" s="6">
        <v>4.0</v>
      </c>
      <c r="Y294" s="12">
        <v>2.0</v>
      </c>
      <c r="Z294" s="12">
        <v>1.0</v>
      </c>
      <c r="AA294" s="6">
        <v>4.0</v>
      </c>
      <c r="AB294" s="6">
        <v>4.0</v>
      </c>
      <c r="AC294" s="12">
        <v>2.0</v>
      </c>
      <c r="AD294" s="6">
        <v>3.0</v>
      </c>
      <c r="AE294" s="6">
        <v>3.0</v>
      </c>
      <c r="AF294" s="6">
        <v>4.0</v>
      </c>
      <c r="AG294" s="12">
        <v>3.0</v>
      </c>
      <c r="AH294" s="6">
        <v>4.0</v>
      </c>
      <c r="AI294" s="6">
        <v>4.0</v>
      </c>
      <c r="AJ294" s="12">
        <v>2.0</v>
      </c>
      <c r="AK294" s="12">
        <v>4.0</v>
      </c>
      <c r="AL294" s="6">
        <v>4.0</v>
      </c>
      <c r="AM294" s="12">
        <v>3.0</v>
      </c>
      <c r="AN294" s="6">
        <v>2.0</v>
      </c>
      <c r="AO294" s="6">
        <v>1.0</v>
      </c>
      <c r="AP294" s="6">
        <v>4.0</v>
      </c>
      <c r="AQ294" s="12">
        <v>4.0</v>
      </c>
      <c r="AR294" s="6">
        <v>4.0</v>
      </c>
      <c r="AS294" s="12">
        <v>2.0</v>
      </c>
      <c r="AT294" s="6">
        <v>3.0</v>
      </c>
      <c r="AV294" s="6">
        <f t="shared" si="67"/>
        <v>1.168653297</v>
      </c>
      <c r="AX294" s="6">
        <f t="shared" si="79"/>
        <v>31</v>
      </c>
      <c r="AY294" s="6"/>
      <c r="BA294" s="6">
        <f t="shared" si="80"/>
        <v>33</v>
      </c>
      <c r="BB294" s="6"/>
      <c r="BD294" s="6">
        <f t="shared" si="81"/>
        <v>26</v>
      </c>
      <c r="BE294" s="6"/>
      <c r="BG294" s="6">
        <f t="shared" si="82"/>
        <v>13</v>
      </c>
      <c r="BH294" s="6"/>
      <c r="BJ294" s="6">
        <f t="shared" si="83"/>
        <v>41</v>
      </c>
      <c r="BK294" s="6"/>
      <c r="BN294">
        <f t="shared" si="84"/>
        <v>2</v>
      </c>
      <c r="BO294">
        <f t="shared" si="85"/>
        <v>3</v>
      </c>
      <c r="BP294">
        <f t="shared" si="86"/>
        <v>0</v>
      </c>
      <c r="BQ294">
        <f t="shared" si="87"/>
        <v>-5</v>
      </c>
      <c r="BR294">
        <f t="shared" si="88"/>
        <v>1</v>
      </c>
      <c r="BZ294" s="6">
        <f t="shared" si="78"/>
        <v>0.1774125898</v>
      </c>
    </row>
    <row r="295">
      <c r="B295" s="8" t="s">
        <v>35</v>
      </c>
      <c r="C295" s="6">
        <v>5.0</v>
      </c>
      <c r="D295" s="12">
        <v>1.0</v>
      </c>
      <c r="E295" s="6">
        <v>4.0</v>
      </c>
      <c r="F295" s="6">
        <v>1.0</v>
      </c>
      <c r="G295" s="6">
        <v>4.0</v>
      </c>
      <c r="H295" s="12">
        <v>1.0</v>
      </c>
      <c r="I295" s="6">
        <v>5.0</v>
      </c>
      <c r="J295" s="12">
        <v>1.0</v>
      </c>
      <c r="K295" s="12">
        <v>2.0</v>
      </c>
      <c r="L295" s="6">
        <v>4.0</v>
      </c>
      <c r="M295" s="6">
        <v>4.0</v>
      </c>
      <c r="N295" s="12">
        <v>4.0</v>
      </c>
      <c r="O295" s="6">
        <v>4.0</v>
      </c>
      <c r="P295" s="6">
        <v>4.0</v>
      </c>
      <c r="Q295" s="6">
        <v>4.0</v>
      </c>
      <c r="R295" s="6">
        <v>4.0</v>
      </c>
      <c r="S295" s="6">
        <v>5.0</v>
      </c>
      <c r="T295" s="12">
        <v>2.0</v>
      </c>
      <c r="U295" s="6">
        <v>2.0</v>
      </c>
      <c r="V295" s="6">
        <v>4.0</v>
      </c>
      <c r="W295" s="12">
        <v>1.0</v>
      </c>
      <c r="X295" s="6">
        <v>4.0</v>
      </c>
      <c r="Y295" s="12">
        <v>1.0</v>
      </c>
      <c r="Z295" s="12">
        <v>2.0</v>
      </c>
      <c r="AA295" s="6">
        <v>4.0</v>
      </c>
      <c r="AB295" s="6">
        <v>2.0</v>
      </c>
      <c r="AC295" s="12">
        <v>1.0</v>
      </c>
      <c r="AD295" s="6">
        <v>4.0</v>
      </c>
      <c r="AE295" s="6">
        <v>4.0</v>
      </c>
      <c r="AF295" s="6">
        <v>3.0</v>
      </c>
      <c r="AG295" s="12">
        <v>1.0</v>
      </c>
      <c r="AH295" s="6">
        <v>5.0</v>
      </c>
      <c r="AI295" s="6">
        <v>3.0</v>
      </c>
      <c r="AJ295" s="12">
        <v>1.0</v>
      </c>
      <c r="AK295" s="12">
        <v>5.0</v>
      </c>
      <c r="AL295" s="6">
        <v>5.0</v>
      </c>
      <c r="AM295" s="12">
        <v>2.0</v>
      </c>
      <c r="AN295" s="6">
        <v>3.0</v>
      </c>
      <c r="AO295" s="6">
        <v>2.0</v>
      </c>
      <c r="AP295" s="6">
        <v>5.0</v>
      </c>
      <c r="AQ295" s="12">
        <v>2.0</v>
      </c>
      <c r="AR295" s="6">
        <v>5.0</v>
      </c>
      <c r="AS295" s="12">
        <v>1.0</v>
      </c>
      <c r="AT295" s="6">
        <v>1.0</v>
      </c>
      <c r="AV295" s="6">
        <f t="shared" si="67"/>
        <v>1.509658825</v>
      </c>
      <c r="AX295" s="6">
        <f t="shared" si="79"/>
        <v>23</v>
      </c>
      <c r="AY295" s="6"/>
      <c r="BA295" s="6">
        <f t="shared" si="80"/>
        <v>32</v>
      </c>
      <c r="BB295" s="6"/>
      <c r="BD295" s="6">
        <f t="shared" si="81"/>
        <v>23</v>
      </c>
      <c r="BE295" s="6"/>
      <c r="BG295" s="6">
        <f t="shared" si="82"/>
        <v>18</v>
      </c>
      <c r="BH295" s="6"/>
      <c r="BJ295" s="6">
        <f t="shared" si="83"/>
        <v>36</v>
      </c>
      <c r="BK295" s="6"/>
      <c r="BN295">
        <f t="shared" si="84"/>
        <v>0</v>
      </c>
      <c r="BO295">
        <f t="shared" si="85"/>
        <v>-2</v>
      </c>
      <c r="BP295">
        <f t="shared" si="86"/>
        <v>1</v>
      </c>
      <c r="BQ295">
        <f t="shared" si="87"/>
        <v>6</v>
      </c>
      <c r="BR295">
        <f t="shared" si="88"/>
        <v>0</v>
      </c>
      <c r="BZ295" s="6">
        <f t="shared" si="78"/>
        <v>-0.07831793514</v>
      </c>
    </row>
    <row r="296">
      <c r="B296" s="8" t="s">
        <v>36</v>
      </c>
      <c r="C296" s="6">
        <v>4.0</v>
      </c>
      <c r="D296" s="12">
        <v>2.0</v>
      </c>
      <c r="E296" s="6">
        <v>2.0</v>
      </c>
      <c r="F296" s="6">
        <v>2.0</v>
      </c>
      <c r="G296" s="6">
        <v>4.0</v>
      </c>
      <c r="H296" s="12">
        <v>3.0</v>
      </c>
      <c r="I296" s="6">
        <v>4.0</v>
      </c>
      <c r="J296" s="12">
        <v>2.0</v>
      </c>
      <c r="K296" s="12">
        <v>2.0</v>
      </c>
      <c r="L296" s="6">
        <v>5.0</v>
      </c>
      <c r="M296" s="6">
        <v>4.0</v>
      </c>
      <c r="N296" s="12">
        <v>4.0</v>
      </c>
      <c r="O296" s="6">
        <v>4.0</v>
      </c>
      <c r="P296" s="6">
        <v>2.0</v>
      </c>
      <c r="Q296" s="6">
        <v>4.0</v>
      </c>
      <c r="R296" s="6">
        <v>4.0</v>
      </c>
      <c r="S296" s="6">
        <v>4.0</v>
      </c>
      <c r="T296" s="12">
        <v>2.0</v>
      </c>
      <c r="U296" s="6">
        <v>1.0</v>
      </c>
      <c r="V296" s="6">
        <v>4.0</v>
      </c>
      <c r="W296" s="12">
        <v>4.0</v>
      </c>
      <c r="X296" s="6">
        <v>4.0</v>
      </c>
      <c r="Y296" s="12">
        <v>2.0</v>
      </c>
      <c r="Z296" s="12">
        <v>2.0</v>
      </c>
      <c r="AA296" s="6">
        <v>4.0</v>
      </c>
      <c r="AB296" s="6">
        <v>4.0</v>
      </c>
      <c r="AC296" s="12">
        <v>4.0</v>
      </c>
      <c r="AD296" s="6">
        <v>2.0</v>
      </c>
      <c r="AE296" s="6">
        <v>2.0</v>
      </c>
      <c r="AF296" s="6">
        <v>4.0</v>
      </c>
      <c r="AG296" s="12">
        <v>3.0</v>
      </c>
      <c r="AH296" s="6">
        <v>4.0</v>
      </c>
      <c r="AI296" s="6">
        <v>4.0</v>
      </c>
      <c r="AJ296" s="12">
        <v>2.0</v>
      </c>
      <c r="AK296" s="12">
        <v>5.0</v>
      </c>
      <c r="AL296" s="6">
        <v>5.0</v>
      </c>
      <c r="AM296" s="12">
        <v>3.0</v>
      </c>
      <c r="AN296" s="6">
        <v>2.0</v>
      </c>
      <c r="AO296" s="6">
        <v>2.0</v>
      </c>
      <c r="AP296" s="6">
        <v>5.0</v>
      </c>
      <c r="AQ296" s="12">
        <v>5.0</v>
      </c>
      <c r="AR296" s="6">
        <v>5.0</v>
      </c>
      <c r="AS296" s="12">
        <v>1.0</v>
      </c>
      <c r="AT296" s="6">
        <v>3.0</v>
      </c>
      <c r="AV296" s="6">
        <f t="shared" si="67"/>
        <v>1.188386367</v>
      </c>
      <c r="AX296" s="6">
        <f t="shared" si="79"/>
        <v>31</v>
      </c>
      <c r="AY296" s="6"/>
      <c r="BA296" s="6">
        <f t="shared" si="80"/>
        <v>34</v>
      </c>
      <c r="BB296" s="6"/>
      <c r="BD296" s="6">
        <f t="shared" si="81"/>
        <v>21</v>
      </c>
      <c r="BE296" s="6"/>
      <c r="BG296" s="6">
        <f t="shared" si="82"/>
        <v>15</v>
      </c>
      <c r="BH296" s="6"/>
      <c r="BJ296" s="6">
        <f t="shared" si="83"/>
        <v>43</v>
      </c>
      <c r="BK296" s="6"/>
      <c r="BN296">
        <f t="shared" si="84"/>
        <v>-1</v>
      </c>
      <c r="BO296">
        <f t="shared" si="85"/>
        <v>-2</v>
      </c>
      <c r="BP296">
        <f t="shared" si="86"/>
        <v>4</v>
      </c>
      <c r="BQ296">
        <f t="shared" si="87"/>
        <v>2</v>
      </c>
      <c r="BR296">
        <f t="shared" si="88"/>
        <v>-1</v>
      </c>
      <c r="BZ296" s="6">
        <f t="shared" si="78"/>
        <v>-0.2561484239</v>
      </c>
    </row>
    <row r="297">
      <c r="B297" s="5"/>
    </row>
    <row r="298">
      <c r="A298" s="20" t="s">
        <v>110</v>
      </c>
      <c r="B298" s="2" t="s">
        <v>152</v>
      </c>
      <c r="C298" s="3" t="s">
        <v>112</v>
      </c>
      <c r="D298" s="3" t="s">
        <v>38</v>
      </c>
      <c r="E298" s="3">
        <v>3.0</v>
      </c>
      <c r="F298" s="3">
        <v>4.0</v>
      </c>
      <c r="G298" s="3" t="s">
        <v>113</v>
      </c>
      <c r="H298" s="3">
        <v>6.0</v>
      </c>
      <c r="I298" s="3">
        <v>7.0</v>
      </c>
      <c r="J298" s="3" t="s">
        <v>40</v>
      </c>
      <c r="K298" s="3">
        <v>9.0</v>
      </c>
      <c r="L298" s="3" t="s">
        <v>114</v>
      </c>
      <c r="M298" s="3" t="s">
        <v>115</v>
      </c>
      <c r="N298" s="3">
        <v>12.0</v>
      </c>
      <c r="O298" s="3">
        <v>13.0</v>
      </c>
      <c r="P298" s="3">
        <v>14.0</v>
      </c>
      <c r="Q298" s="3" t="s">
        <v>116</v>
      </c>
      <c r="R298" s="3" t="s">
        <v>117</v>
      </c>
      <c r="S298" s="3">
        <v>17.0</v>
      </c>
      <c r="T298" s="3">
        <v>18.0</v>
      </c>
      <c r="U298" s="3" t="s">
        <v>118</v>
      </c>
      <c r="V298" s="3" t="s">
        <v>119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R298" s="10" t="s">
        <v>54</v>
      </c>
      <c r="AT298" s="10" t="s">
        <v>125</v>
      </c>
      <c r="AU298" s="36"/>
      <c r="AV298" s="10" t="s">
        <v>56</v>
      </c>
      <c r="AX298" s="10" t="s">
        <v>149</v>
      </c>
      <c r="AY298" s="36"/>
      <c r="AZ298" s="36"/>
      <c r="BA298" s="36"/>
      <c r="BC298" s="10" t="s">
        <v>153</v>
      </c>
      <c r="BD298" s="36"/>
      <c r="BF298" s="10" t="s">
        <v>54</v>
      </c>
    </row>
    <row r="299">
      <c r="B299" s="5" t="s">
        <v>2</v>
      </c>
      <c r="C299" s="3">
        <v>0.0</v>
      </c>
      <c r="D299" s="3">
        <v>0.0</v>
      </c>
      <c r="E299" s="6">
        <v>0.0</v>
      </c>
      <c r="F299" s="6">
        <v>0.0</v>
      </c>
      <c r="G299" s="3">
        <v>1.0</v>
      </c>
      <c r="H299" s="6">
        <v>0.0</v>
      </c>
      <c r="I299" s="6">
        <v>0.0</v>
      </c>
      <c r="J299" s="3">
        <v>0.0</v>
      </c>
      <c r="K299" s="6">
        <v>0.0</v>
      </c>
      <c r="L299" s="3">
        <v>1.0</v>
      </c>
      <c r="M299" s="3">
        <v>1.0</v>
      </c>
      <c r="N299" s="6">
        <v>0.0</v>
      </c>
      <c r="O299" s="6">
        <v>0.0</v>
      </c>
      <c r="P299" s="6">
        <v>0.0</v>
      </c>
      <c r="Q299" s="3">
        <v>1.0</v>
      </c>
      <c r="R299" s="3">
        <v>0.0</v>
      </c>
      <c r="S299" s="6">
        <v>0.0</v>
      </c>
      <c r="T299" s="6">
        <v>0.0</v>
      </c>
      <c r="U299" s="3">
        <v>1.0</v>
      </c>
      <c r="V299" s="22">
        <v>0.0</v>
      </c>
      <c r="W299" s="3"/>
      <c r="X299" s="6"/>
      <c r="Y299" s="6"/>
      <c r="Z299" s="6"/>
      <c r="AA299" s="6"/>
      <c r="AB299" s="3"/>
      <c r="AC299" s="3"/>
      <c r="AD299" s="6"/>
      <c r="AE299" s="6"/>
      <c r="AF299" s="3"/>
      <c r="AG299" s="6"/>
      <c r="AH299" s="6"/>
      <c r="AI299" s="3"/>
      <c r="AJ299" s="6"/>
      <c r="AK299" s="6"/>
      <c r="AL299" s="3"/>
      <c r="AM299" s="6"/>
      <c r="AN299" s="6"/>
      <c r="AO299" s="3"/>
      <c r="AP299" s="6"/>
      <c r="AR299" s="6">
        <f t="shared" ref="AR299:AR333" si="89">STDEV(C299:V299)</f>
        <v>0.4442616583</v>
      </c>
      <c r="AT299" s="6">
        <f t="shared" ref="AT299:AT333" si="90">sum(C299:V299)</f>
        <v>5</v>
      </c>
      <c r="AU299" s="6"/>
      <c r="AV299" s="6"/>
      <c r="AX299">
        <f t="shared" ref="AX299:AX333" si="91">AT299-AT77</f>
        <v>1</v>
      </c>
      <c r="BC299">
        <f>sum(AX299:AX318)</f>
        <v>-98</v>
      </c>
      <c r="BF299" s="6">
        <f t="shared" ref="BF299:BF333" si="92">AR299-AR77</f>
        <v>0.03387031749</v>
      </c>
    </row>
    <row r="300">
      <c r="B300" s="5" t="s">
        <v>3</v>
      </c>
      <c r="C300" s="12">
        <v>2.0</v>
      </c>
      <c r="D300" s="12">
        <v>2.0</v>
      </c>
      <c r="E300" s="6">
        <v>1.0</v>
      </c>
      <c r="F300" s="6">
        <v>0.0</v>
      </c>
      <c r="G300" s="12">
        <v>1.0</v>
      </c>
      <c r="H300" s="6">
        <v>3.0</v>
      </c>
      <c r="I300" s="6">
        <v>0.0</v>
      </c>
      <c r="J300" s="12">
        <v>0.0</v>
      </c>
      <c r="K300" s="6">
        <v>0.0</v>
      </c>
      <c r="L300" s="12">
        <v>1.0</v>
      </c>
      <c r="M300" s="12">
        <v>0.0</v>
      </c>
      <c r="N300" s="6">
        <v>1.0</v>
      </c>
      <c r="O300" s="6">
        <v>2.0</v>
      </c>
      <c r="P300" s="6">
        <v>1.0</v>
      </c>
      <c r="Q300" s="12">
        <v>0.0</v>
      </c>
      <c r="R300" s="12">
        <v>0.0</v>
      </c>
      <c r="S300" s="6">
        <v>1.0</v>
      </c>
      <c r="T300" s="6">
        <v>2.0</v>
      </c>
      <c r="U300" s="12">
        <v>1.0</v>
      </c>
      <c r="V300" s="23">
        <v>1.0</v>
      </c>
      <c r="W300" s="12"/>
      <c r="X300" s="6"/>
      <c r="Y300" s="6"/>
      <c r="Z300" s="6"/>
      <c r="AA300" s="6"/>
      <c r="AB300" s="12"/>
      <c r="AC300" s="12"/>
      <c r="AD300" s="6"/>
      <c r="AE300" s="6"/>
      <c r="AF300" s="12"/>
      <c r="AG300" s="6"/>
      <c r="AH300" s="6"/>
      <c r="AI300" s="12"/>
      <c r="AJ300" s="6"/>
      <c r="AK300" s="6"/>
      <c r="AL300" s="12"/>
      <c r="AM300" s="6"/>
      <c r="AN300" s="6"/>
      <c r="AO300" s="12"/>
      <c r="AP300" s="6"/>
      <c r="AR300" s="6">
        <f t="shared" si="89"/>
        <v>0.8870412083</v>
      </c>
      <c r="AT300" s="6">
        <f t="shared" si="90"/>
        <v>19</v>
      </c>
      <c r="AU300" s="6"/>
      <c r="AV300" s="6"/>
      <c r="AX300">
        <f t="shared" si="91"/>
        <v>5</v>
      </c>
      <c r="BF300" s="6">
        <f t="shared" si="92"/>
        <v>0.1543461113</v>
      </c>
    </row>
    <row r="301">
      <c r="B301" s="5" t="s">
        <v>4</v>
      </c>
      <c r="C301" s="12">
        <v>0.0</v>
      </c>
      <c r="D301" s="12">
        <v>0.0</v>
      </c>
      <c r="E301" s="6">
        <v>0.0</v>
      </c>
      <c r="F301" s="6">
        <v>0.0</v>
      </c>
      <c r="G301" s="12">
        <v>0.0</v>
      </c>
      <c r="H301" s="6">
        <v>0.0</v>
      </c>
      <c r="I301" s="6">
        <v>0.0</v>
      </c>
      <c r="J301" s="12">
        <v>0.0</v>
      </c>
      <c r="K301" s="6">
        <v>0.0</v>
      </c>
      <c r="L301" s="12">
        <v>0.0</v>
      </c>
      <c r="M301" s="12">
        <v>1.0</v>
      </c>
      <c r="N301" s="6">
        <v>0.0</v>
      </c>
      <c r="O301" s="6">
        <v>0.0</v>
      </c>
      <c r="P301" s="6">
        <v>0.0</v>
      </c>
      <c r="Q301" s="12">
        <v>0.0</v>
      </c>
      <c r="R301" s="12">
        <v>0.0</v>
      </c>
      <c r="S301" s="6">
        <v>0.0</v>
      </c>
      <c r="T301" s="6">
        <v>0.0</v>
      </c>
      <c r="U301" s="12">
        <v>3.0</v>
      </c>
      <c r="V301" s="23">
        <v>0.0</v>
      </c>
      <c r="W301" s="12"/>
      <c r="X301" s="6"/>
      <c r="Y301" s="6"/>
      <c r="Z301" s="6"/>
      <c r="AA301" s="6"/>
      <c r="AB301" s="12"/>
      <c r="AC301" s="12"/>
      <c r="AD301" s="6"/>
      <c r="AE301" s="6"/>
      <c r="AF301" s="12"/>
      <c r="AG301" s="6"/>
      <c r="AH301" s="6"/>
      <c r="AI301" s="12"/>
      <c r="AJ301" s="6"/>
      <c r="AK301" s="6"/>
      <c r="AL301" s="12"/>
      <c r="AM301" s="6"/>
      <c r="AN301" s="6"/>
      <c r="AO301" s="12"/>
      <c r="AP301" s="6"/>
      <c r="AR301" s="6">
        <f t="shared" si="89"/>
        <v>0.6958523739</v>
      </c>
      <c r="AT301" s="6">
        <f t="shared" si="90"/>
        <v>4</v>
      </c>
      <c r="AU301" s="6"/>
      <c r="AV301" s="6"/>
      <c r="AX301">
        <f t="shared" si="91"/>
        <v>0</v>
      </c>
      <c r="BF301" s="6">
        <f t="shared" si="92"/>
        <v>0.2854610331</v>
      </c>
    </row>
    <row r="302">
      <c r="B302" s="5" t="s">
        <v>5</v>
      </c>
      <c r="C302" s="12">
        <v>0.0</v>
      </c>
      <c r="D302" s="12">
        <v>0.0</v>
      </c>
      <c r="E302" s="6">
        <v>0.0</v>
      </c>
      <c r="F302" s="6">
        <v>0.0</v>
      </c>
      <c r="G302" s="12">
        <v>0.0</v>
      </c>
      <c r="H302" s="6">
        <v>0.0</v>
      </c>
      <c r="I302" s="6">
        <v>0.0</v>
      </c>
      <c r="J302" s="12">
        <v>1.0</v>
      </c>
      <c r="K302" s="6">
        <v>0.0</v>
      </c>
      <c r="L302" s="12">
        <v>0.0</v>
      </c>
      <c r="M302" s="12">
        <v>1.0</v>
      </c>
      <c r="N302" s="6">
        <v>0.0</v>
      </c>
      <c r="O302" s="6">
        <v>0.0</v>
      </c>
      <c r="P302" s="6">
        <v>0.0</v>
      </c>
      <c r="Q302" s="12">
        <v>0.0</v>
      </c>
      <c r="R302" s="12">
        <v>0.0</v>
      </c>
      <c r="S302" s="6">
        <v>0.0</v>
      </c>
      <c r="T302" s="6">
        <v>0.0</v>
      </c>
      <c r="U302" s="12">
        <v>1.0</v>
      </c>
      <c r="V302" s="23">
        <v>0.0</v>
      </c>
      <c r="W302" s="12"/>
      <c r="X302" s="6"/>
      <c r="Y302" s="6"/>
      <c r="Z302" s="6"/>
      <c r="AA302" s="6"/>
      <c r="AB302" s="12"/>
      <c r="AC302" s="12"/>
      <c r="AD302" s="6"/>
      <c r="AE302" s="6"/>
      <c r="AF302" s="12"/>
      <c r="AG302" s="6"/>
      <c r="AH302" s="6"/>
      <c r="AI302" s="12"/>
      <c r="AJ302" s="6"/>
      <c r="AK302" s="6"/>
      <c r="AL302" s="12"/>
      <c r="AM302" s="6"/>
      <c r="AN302" s="6"/>
      <c r="AO302" s="12"/>
      <c r="AP302" s="6"/>
      <c r="AR302" s="6">
        <f t="shared" si="89"/>
        <v>0.3663475485</v>
      </c>
      <c r="AT302" s="6">
        <f t="shared" si="90"/>
        <v>3</v>
      </c>
      <c r="AU302" s="6"/>
      <c r="AV302" s="6"/>
      <c r="AX302">
        <f t="shared" si="91"/>
        <v>-12</v>
      </c>
      <c r="BF302" s="6">
        <f t="shared" si="92"/>
        <v>-0.2723188251</v>
      </c>
    </row>
    <row r="303">
      <c r="B303" s="5" t="s">
        <v>6</v>
      </c>
      <c r="C303" s="12">
        <v>1.0</v>
      </c>
      <c r="D303" s="12">
        <v>1.0</v>
      </c>
      <c r="E303" s="6">
        <v>0.0</v>
      </c>
      <c r="F303" s="6">
        <v>0.0</v>
      </c>
      <c r="G303" s="12">
        <v>1.0</v>
      </c>
      <c r="H303" s="6">
        <v>0.0</v>
      </c>
      <c r="I303" s="6">
        <v>0.0</v>
      </c>
      <c r="J303" s="12">
        <v>1.0</v>
      </c>
      <c r="K303" s="6">
        <v>0.0</v>
      </c>
      <c r="L303" s="12">
        <v>1.0</v>
      </c>
      <c r="M303" s="12">
        <v>1.0</v>
      </c>
      <c r="N303" s="6">
        <v>1.0</v>
      </c>
      <c r="O303" s="6">
        <v>0.0</v>
      </c>
      <c r="P303" s="6">
        <v>0.0</v>
      </c>
      <c r="Q303" s="12">
        <v>0.0</v>
      </c>
      <c r="R303" s="12">
        <v>1.0</v>
      </c>
      <c r="S303" s="6">
        <v>0.0</v>
      </c>
      <c r="T303" s="6">
        <v>0.0</v>
      </c>
      <c r="U303" s="12">
        <v>1.0</v>
      </c>
      <c r="V303" s="23">
        <v>1.0</v>
      </c>
      <c r="W303" s="12"/>
      <c r="X303" s="6"/>
      <c r="Y303" s="6"/>
      <c r="Z303" s="6"/>
      <c r="AA303" s="6"/>
      <c r="AB303" s="12"/>
      <c r="AC303" s="12"/>
      <c r="AD303" s="6"/>
      <c r="AE303" s="6"/>
      <c r="AF303" s="12"/>
      <c r="AG303" s="6"/>
      <c r="AH303" s="6"/>
      <c r="AI303" s="12"/>
      <c r="AJ303" s="6"/>
      <c r="AK303" s="6"/>
      <c r="AL303" s="12"/>
      <c r="AM303" s="6"/>
      <c r="AN303" s="6"/>
      <c r="AO303" s="12"/>
      <c r="AP303" s="6"/>
      <c r="AR303" s="6">
        <f t="shared" si="89"/>
        <v>0.512989176</v>
      </c>
      <c r="AT303" s="6">
        <f t="shared" si="90"/>
        <v>10</v>
      </c>
      <c r="AU303" s="6"/>
      <c r="AV303" s="6"/>
      <c r="AX303">
        <f t="shared" si="91"/>
        <v>-6</v>
      </c>
      <c r="BF303" s="6">
        <f t="shared" si="92"/>
        <v>-0.2547827199</v>
      </c>
    </row>
    <row r="304">
      <c r="B304" s="5" t="s">
        <v>7</v>
      </c>
      <c r="C304" s="12">
        <v>0.0</v>
      </c>
      <c r="D304" s="12">
        <v>1.0</v>
      </c>
      <c r="E304" s="6">
        <v>0.0</v>
      </c>
      <c r="F304" s="6">
        <v>0.0</v>
      </c>
      <c r="G304" s="12">
        <v>2.0</v>
      </c>
      <c r="H304" s="6">
        <v>1.0</v>
      </c>
      <c r="I304" s="6">
        <v>0.0</v>
      </c>
      <c r="J304" s="12">
        <v>1.0</v>
      </c>
      <c r="K304" s="6">
        <v>0.0</v>
      </c>
      <c r="L304" s="12">
        <v>0.0</v>
      </c>
      <c r="M304" s="12">
        <v>2.0</v>
      </c>
      <c r="N304" s="6">
        <v>0.0</v>
      </c>
      <c r="O304" s="6">
        <v>0.0</v>
      </c>
      <c r="P304" s="6">
        <v>0.0</v>
      </c>
      <c r="Q304" s="12">
        <v>1.0</v>
      </c>
      <c r="R304" s="12">
        <v>2.0</v>
      </c>
      <c r="S304" s="6">
        <v>0.0</v>
      </c>
      <c r="T304" s="6">
        <v>1.0</v>
      </c>
      <c r="U304" s="12">
        <v>1.0</v>
      </c>
      <c r="V304" s="23">
        <v>0.0</v>
      </c>
      <c r="W304" s="12"/>
      <c r="X304" s="6"/>
      <c r="Y304" s="6"/>
      <c r="Z304" s="6"/>
      <c r="AA304" s="6"/>
      <c r="AB304" s="12"/>
      <c r="AC304" s="12"/>
      <c r="AD304" s="6"/>
      <c r="AE304" s="6"/>
      <c r="AF304" s="12"/>
      <c r="AG304" s="6"/>
      <c r="AH304" s="6"/>
      <c r="AI304" s="12"/>
      <c r="AJ304" s="6"/>
      <c r="AK304" s="6"/>
      <c r="AL304" s="12"/>
      <c r="AM304" s="6"/>
      <c r="AN304" s="6"/>
      <c r="AO304" s="12"/>
      <c r="AP304" s="6"/>
      <c r="AR304" s="6">
        <f t="shared" si="89"/>
        <v>0.7539370349</v>
      </c>
      <c r="AT304" s="6">
        <f t="shared" si="90"/>
        <v>12</v>
      </c>
      <c r="AU304" s="6"/>
      <c r="AV304" s="6"/>
      <c r="AX304">
        <f t="shared" si="91"/>
        <v>2</v>
      </c>
      <c r="BF304" s="6">
        <f t="shared" si="92"/>
        <v>0.06568983331</v>
      </c>
    </row>
    <row r="305">
      <c r="B305" s="5" t="s">
        <v>8</v>
      </c>
      <c r="C305" s="12">
        <v>1.0</v>
      </c>
      <c r="D305" s="12">
        <v>0.0</v>
      </c>
      <c r="E305" s="6">
        <v>1.0</v>
      </c>
      <c r="F305" s="6">
        <v>0.0</v>
      </c>
      <c r="G305" s="12">
        <v>1.0</v>
      </c>
      <c r="H305" s="6">
        <v>0.0</v>
      </c>
      <c r="I305" s="6">
        <v>0.0</v>
      </c>
      <c r="J305" s="12">
        <v>1.0</v>
      </c>
      <c r="K305" s="6">
        <v>0.0</v>
      </c>
      <c r="L305" s="12">
        <v>1.0</v>
      </c>
      <c r="M305" s="12">
        <v>1.0</v>
      </c>
      <c r="N305" s="6">
        <v>0.0</v>
      </c>
      <c r="O305" s="6">
        <v>0.0</v>
      </c>
      <c r="P305" s="6">
        <v>1.0</v>
      </c>
      <c r="Q305" s="12">
        <v>0.0</v>
      </c>
      <c r="R305" s="12">
        <v>0.0</v>
      </c>
      <c r="S305" s="6">
        <v>0.0</v>
      </c>
      <c r="T305" s="6">
        <v>0.0</v>
      </c>
      <c r="U305" s="12">
        <v>1.0</v>
      </c>
      <c r="V305" s="23">
        <v>0.0</v>
      </c>
      <c r="W305" s="12"/>
      <c r="X305" s="6"/>
      <c r="Y305" s="6"/>
      <c r="Z305" s="6"/>
      <c r="AA305" s="6"/>
      <c r="AB305" s="12"/>
      <c r="AC305" s="12"/>
      <c r="AD305" s="6"/>
      <c r="AE305" s="6"/>
      <c r="AF305" s="12"/>
      <c r="AG305" s="6"/>
      <c r="AH305" s="6"/>
      <c r="AI305" s="12"/>
      <c r="AJ305" s="6"/>
      <c r="AK305" s="6"/>
      <c r="AL305" s="12"/>
      <c r="AM305" s="6"/>
      <c r="AN305" s="6"/>
      <c r="AO305" s="12"/>
      <c r="AP305" s="6"/>
      <c r="AR305" s="6">
        <f t="shared" si="89"/>
        <v>0.50262469</v>
      </c>
      <c r="AT305" s="6">
        <f t="shared" si="90"/>
        <v>8</v>
      </c>
      <c r="AU305" s="6"/>
      <c r="AV305" s="6"/>
      <c r="AX305">
        <f t="shared" si="91"/>
        <v>-1</v>
      </c>
      <c r="BF305" s="6">
        <f t="shared" si="92"/>
        <v>-0.007793095584</v>
      </c>
    </row>
    <row r="306">
      <c r="B306" s="5" t="s">
        <v>9</v>
      </c>
      <c r="C306" s="12">
        <v>0.0</v>
      </c>
      <c r="D306" s="12">
        <v>1.0</v>
      </c>
      <c r="E306" s="6">
        <v>0.0</v>
      </c>
      <c r="F306" s="6">
        <v>0.0</v>
      </c>
      <c r="G306" s="12">
        <v>1.0</v>
      </c>
      <c r="H306" s="6">
        <v>0.0</v>
      </c>
      <c r="I306" s="6">
        <v>0.0</v>
      </c>
      <c r="J306" s="12">
        <v>0.0</v>
      </c>
      <c r="K306" s="6">
        <v>0.0</v>
      </c>
      <c r="L306" s="12">
        <v>0.0</v>
      </c>
      <c r="M306" s="12">
        <v>0.0</v>
      </c>
      <c r="N306" s="6">
        <v>0.0</v>
      </c>
      <c r="O306" s="6">
        <v>0.0</v>
      </c>
      <c r="P306" s="6">
        <v>0.0</v>
      </c>
      <c r="Q306" s="12">
        <v>0.0</v>
      </c>
      <c r="R306" s="12">
        <v>0.0</v>
      </c>
      <c r="S306" s="6">
        <v>0.0</v>
      </c>
      <c r="T306" s="6">
        <v>1.0</v>
      </c>
      <c r="U306" s="12">
        <v>0.0</v>
      </c>
      <c r="V306" s="23">
        <v>0.0</v>
      </c>
      <c r="W306" s="12"/>
      <c r="X306" s="6"/>
      <c r="Y306" s="6"/>
      <c r="Z306" s="6"/>
      <c r="AA306" s="6"/>
      <c r="AB306" s="12"/>
      <c r="AC306" s="12"/>
      <c r="AD306" s="6"/>
      <c r="AE306" s="6"/>
      <c r="AF306" s="12"/>
      <c r="AG306" s="6"/>
      <c r="AH306" s="6"/>
      <c r="AI306" s="12"/>
      <c r="AJ306" s="6"/>
      <c r="AK306" s="6"/>
      <c r="AL306" s="12"/>
      <c r="AM306" s="6"/>
      <c r="AN306" s="6"/>
      <c r="AO306" s="12"/>
      <c r="AP306" s="6"/>
      <c r="AR306" s="6">
        <f t="shared" si="89"/>
        <v>0.3663475485</v>
      </c>
      <c r="AT306" s="6">
        <f t="shared" si="90"/>
        <v>3</v>
      </c>
      <c r="AU306" s="6"/>
      <c r="AV306" s="6"/>
      <c r="AX306">
        <f t="shared" si="91"/>
        <v>-19</v>
      </c>
      <c r="BF306" s="6">
        <f t="shared" si="92"/>
        <v>-0.4217213771</v>
      </c>
    </row>
    <row r="307">
      <c r="B307" s="5" t="s">
        <v>10</v>
      </c>
      <c r="C307" s="12">
        <v>1.0</v>
      </c>
      <c r="D307" s="12">
        <v>1.0</v>
      </c>
      <c r="E307" s="6">
        <v>0.0</v>
      </c>
      <c r="F307" s="6">
        <v>0.0</v>
      </c>
      <c r="G307" s="12">
        <v>2.0</v>
      </c>
      <c r="H307" s="6">
        <v>0.0</v>
      </c>
      <c r="I307" s="6">
        <v>0.0</v>
      </c>
      <c r="J307" s="12">
        <v>1.0</v>
      </c>
      <c r="K307" s="6">
        <v>0.0</v>
      </c>
      <c r="L307" s="12">
        <v>1.0</v>
      </c>
      <c r="M307" s="12">
        <v>1.0</v>
      </c>
      <c r="N307" s="6">
        <v>0.0</v>
      </c>
      <c r="O307" s="6">
        <v>0.0</v>
      </c>
      <c r="P307" s="6">
        <v>0.0</v>
      </c>
      <c r="Q307" s="12">
        <v>1.0</v>
      </c>
      <c r="R307" s="12">
        <v>1.0</v>
      </c>
      <c r="S307" s="6">
        <v>0.0</v>
      </c>
      <c r="T307" s="6">
        <v>0.0</v>
      </c>
      <c r="U307" s="12">
        <v>1.0</v>
      </c>
      <c r="V307" s="23">
        <v>1.0</v>
      </c>
      <c r="W307" s="12"/>
      <c r="X307" s="6"/>
      <c r="Y307" s="6"/>
      <c r="Z307" s="6"/>
      <c r="AA307" s="6"/>
      <c r="AB307" s="12"/>
      <c r="AC307" s="12"/>
      <c r="AD307" s="6"/>
      <c r="AE307" s="6"/>
      <c r="AF307" s="12"/>
      <c r="AG307" s="6"/>
      <c r="AH307" s="6"/>
      <c r="AI307" s="12"/>
      <c r="AJ307" s="6"/>
      <c r="AK307" s="6"/>
      <c r="AL307" s="12"/>
      <c r="AM307" s="6"/>
      <c r="AN307" s="6"/>
      <c r="AO307" s="12"/>
      <c r="AP307" s="6"/>
      <c r="AR307" s="6">
        <f t="shared" si="89"/>
        <v>0.6048053188</v>
      </c>
      <c r="AT307" s="6">
        <f t="shared" si="90"/>
        <v>11</v>
      </c>
      <c r="AU307" s="6"/>
      <c r="AV307" s="6"/>
      <c r="AX307">
        <f t="shared" si="91"/>
        <v>-20</v>
      </c>
      <c r="BF307" s="6">
        <f t="shared" si="92"/>
        <v>-0.08152742232</v>
      </c>
    </row>
    <row r="308">
      <c r="B308" s="5" t="s">
        <v>11</v>
      </c>
      <c r="C308" s="12">
        <v>0.0</v>
      </c>
      <c r="D308" s="12">
        <v>1.0</v>
      </c>
      <c r="E308" s="6">
        <v>0.0</v>
      </c>
      <c r="F308" s="6">
        <v>0.0</v>
      </c>
      <c r="G308" s="12">
        <v>2.0</v>
      </c>
      <c r="H308" s="6">
        <v>0.0</v>
      </c>
      <c r="I308" s="6">
        <v>0.0</v>
      </c>
      <c r="J308" s="12">
        <v>1.0</v>
      </c>
      <c r="K308" s="6">
        <v>0.0</v>
      </c>
      <c r="L308" s="12">
        <v>2.0</v>
      </c>
      <c r="M308" s="12">
        <v>2.0</v>
      </c>
      <c r="N308" s="6">
        <v>0.0</v>
      </c>
      <c r="O308" s="6">
        <v>0.0</v>
      </c>
      <c r="P308" s="6">
        <v>0.0</v>
      </c>
      <c r="Q308" s="12">
        <v>1.0</v>
      </c>
      <c r="R308" s="12">
        <v>1.0</v>
      </c>
      <c r="S308" s="6">
        <v>0.0</v>
      </c>
      <c r="T308" s="6">
        <v>1.0</v>
      </c>
      <c r="U308" s="12">
        <v>1.0</v>
      </c>
      <c r="V308" s="23">
        <v>1.0</v>
      </c>
      <c r="W308" s="12"/>
      <c r="X308" s="6"/>
      <c r="Y308" s="6"/>
      <c r="Z308" s="6"/>
      <c r="AA308" s="6"/>
      <c r="AB308" s="12"/>
      <c r="AC308" s="12"/>
      <c r="AD308" s="6"/>
      <c r="AE308" s="6"/>
      <c r="AF308" s="12"/>
      <c r="AG308" s="6"/>
      <c r="AH308" s="6"/>
      <c r="AI308" s="12"/>
      <c r="AJ308" s="6"/>
      <c r="AK308" s="6"/>
      <c r="AL308" s="12"/>
      <c r="AM308" s="6"/>
      <c r="AN308" s="6"/>
      <c r="AO308" s="12"/>
      <c r="AP308" s="6"/>
      <c r="AR308" s="6">
        <f t="shared" si="89"/>
        <v>0.7451598204</v>
      </c>
      <c r="AT308" s="6">
        <f t="shared" si="90"/>
        <v>13</v>
      </c>
      <c r="AU308" s="6"/>
      <c r="AV308" s="6"/>
      <c r="AX308">
        <f t="shared" si="91"/>
        <v>-3</v>
      </c>
      <c r="BF308" s="6">
        <f t="shared" si="92"/>
        <v>-0.1492673706</v>
      </c>
    </row>
    <row r="309">
      <c r="B309" s="5" t="s">
        <v>12</v>
      </c>
      <c r="C309" s="12">
        <v>0.0</v>
      </c>
      <c r="D309" s="12">
        <v>0.0</v>
      </c>
      <c r="E309" s="6">
        <v>0.0</v>
      </c>
      <c r="F309" s="6">
        <v>0.0</v>
      </c>
      <c r="G309" s="12">
        <v>0.0</v>
      </c>
      <c r="H309" s="6">
        <v>0.0</v>
      </c>
      <c r="I309" s="6">
        <v>0.0</v>
      </c>
      <c r="J309" s="12">
        <v>0.0</v>
      </c>
      <c r="K309" s="6">
        <v>0.0</v>
      </c>
      <c r="L309" s="12">
        <v>0.0</v>
      </c>
      <c r="M309" s="12">
        <v>0.0</v>
      </c>
      <c r="N309" s="6">
        <v>0.0</v>
      </c>
      <c r="O309" s="6">
        <v>0.0</v>
      </c>
      <c r="P309" s="6">
        <v>0.0</v>
      </c>
      <c r="Q309" s="12">
        <v>0.0</v>
      </c>
      <c r="R309" s="12">
        <v>0.0</v>
      </c>
      <c r="S309" s="6">
        <v>0.0</v>
      </c>
      <c r="T309" s="6">
        <v>0.0</v>
      </c>
      <c r="U309" s="12">
        <v>0.0</v>
      </c>
      <c r="V309" s="23">
        <v>0.0</v>
      </c>
      <c r="W309" s="12"/>
      <c r="X309" s="6"/>
      <c r="Y309" s="6"/>
      <c r="Z309" s="6"/>
      <c r="AA309" s="6"/>
      <c r="AB309" s="12"/>
      <c r="AC309" s="12"/>
      <c r="AD309" s="6"/>
      <c r="AE309" s="6"/>
      <c r="AF309" s="12"/>
      <c r="AG309" s="6"/>
      <c r="AH309" s="6"/>
      <c r="AI309" s="12"/>
      <c r="AJ309" s="6"/>
      <c r="AK309" s="6"/>
      <c r="AL309" s="12"/>
      <c r="AM309" s="6"/>
      <c r="AN309" s="6"/>
      <c r="AO309" s="12"/>
      <c r="AP309" s="6"/>
      <c r="AR309" s="6">
        <f t="shared" si="89"/>
        <v>0</v>
      </c>
      <c r="AT309" s="6">
        <f t="shared" si="90"/>
        <v>0</v>
      </c>
      <c r="AU309" s="6"/>
      <c r="AV309" s="6"/>
      <c r="AX309">
        <f t="shared" si="91"/>
        <v>-1</v>
      </c>
      <c r="BF309" s="6">
        <f t="shared" si="92"/>
        <v>-0.2236067977</v>
      </c>
    </row>
    <row r="310">
      <c r="B310" s="5" t="s">
        <v>13</v>
      </c>
      <c r="C310" s="12">
        <v>1.0</v>
      </c>
      <c r="D310" s="12">
        <v>2.0</v>
      </c>
      <c r="E310" s="6">
        <v>0.0</v>
      </c>
      <c r="F310" s="6">
        <v>0.0</v>
      </c>
      <c r="G310" s="12">
        <v>1.0</v>
      </c>
      <c r="H310" s="6">
        <v>1.0</v>
      </c>
      <c r="I310" s="6">
        <v>1.0</v>
      </c>
      <c r="J310" s="12">
        <v>1.0</v>
      </c>
      <c r="K310" s="6">
        <v>0.0</v>
      </c>
      <c r="L310" s="12">
        <v>0.0</v>
      </c>
      <c r="M310" s="12">
        <v>1.0</v>
      </c>
      <c r="N310" s="6">
        <v>1.0</v>
      </c>
      <c r="O310" s="6">
        <v>1.0</v>
      </c>
      <c r="P310" s="6">
        <v>1.0</v>
      </c>
      <c r="Q310" s="12">
        <v>1.0</v>
      </c>
      <c r="R310" s="12">
        <v>1.0</v>
      </c>
      <c r="S310" s="6">
        <v>1.0</v>
      </c>
      <c r="T310" s="6">
        <v>0.0</v>
      </c>
      <c r="U310" s="12">
        <v>1.0</v>
      </c>
      <c r="V310" s="23">
        <v>1.0</v>
      </c>
      <c r="W310" s="12"/>
      <c r="X310" s="6"/>
      <c r="Y310" s="6"/>
      <c r="Z310" s="6"/>
      <c r="AA310" s="6"/>
      <c r="AB310" s="12"/>
      <c r="AC310" s="12"/>
      <c r="AD310" s="6"/>
      <c r="AE310" s="6"/>
      <c r="AF310" s="12"/>
      <c r="AG310" s="6"/>
      <c r="AH310" s="6"/>
      <c r="AI310" s="12"/>
      <c r="AJ310" s="6"/>
      <c r="AK310" s="6"/>
      <c r="AL310" s="12"/>
      <c r="AM310" s="6"/>
      <c r="AN310" s="6"/>
      <c r="AO310" s="12"/>
      <c r="AP310" s="6"/>
      <c r="AR310" s="6">
        <f t="shared" si="89"/>
        <v>0.5231483638</v>
      </c>
      <c r="AT310" s="6">
        <f t="shared" si="90"/>
        <v>16</v>
      </c>
      <c r="AU310" s="6"/>
      <c r="AV310" s="6"/>
      <c r="AX310">
        <f t="shared" si="91"/>
        <v>-16</v>
      </c>
      <c r="BF310" s="6">
        <f t="shared" si="92"/>
        <v>-0.3594315864</v>
      </c>
    </row>
    <row r="311">
      <c r="B311" s="5" t="s">
        <v>14</v>
      </c>
      <c r="C311" s="12">
        <v>0.0</v>
      </c>
      <c r="D311" s="12">
        <v>0.0</v>
      </c>
      <c r="E311" s="6">
        <v>0.0</v>
      </c>
      <c r="F311" s="6">
        <v>0.0</v>
      </c>
      <c r="G311" s="12">
        <v>1.0</v>
      </c>
      <c r="H311" s="6">
        <v>1.0</v>
      </c>
      <c r="I311" s="6">
        <v>0.0</v>
      </c>
      <c r="J311" s="12">
        <v>1.0</v>
      </c>
      <c r="K311" s="6">
        <v>0.0</v>
      </c>
      <c r="L311" s="12">
        <v>0.0</v>
      </c>
      <c r="M311" s="12">
        <v>1.0</v>
      </c>
      <c r="N311" s="6">
        <v>0.0</v>
      </c>
      <c r="O311" s="6">
        <v>0.0</v>
      </c>
      <c r="P311" s="6">
        <v>0.0</v>
      </c>
      <c r="Q311" s="12">
        <v>0.0</v>
      </c>
      <c r="R311" s="12">
        <v>1.0</v>
      </c>
      <c r="S311" s="6">
        <v>0.0</v>
      </c>
      <c r="T311" s="6">
        <v>0.0</v>
      </c>
      <c r="U311" s="12">
        <v>1.0</v>
      </c>
      <c r="V311" s="23">
        <v>0.0</v>
      </c>
      <c r="W311" s="12"/>
      <c r="X311" s="6"/>
      <c r="Y311" s="6"/>
      <c r="Z311" s="6"/>
      <c r="AA311" s="6"/>
      <c r="AB311" s="12"/>
      <c r="AC311" s="12"/>
      <c r="AD311" s="6"/>
      <c r="AE311" s="6"/>
      <c r="AF311" s="12"/>
      <c r="AG311" s="6"/>
      <c r="AH311" s="6"/>
      <c r="AI311" s="12"/>
      <c r="AJ311" s="6"/>
      <c r="AK311" s="6"/>
      <c r="AL311" s="12"/>
      <c r="AM311" s="6"/>
      <c r="AN311" s="6"/>
      <c r="AO311" s="12"/>
      <c r="AP311" s="6"/>
      <c r="AR311" s="6">
        <f t="shared" si="89"/>
        <v>0.470162346</v>
      </c>
      <c r="AT311" s="6">
        <f t="shared" si="90"/>
        <v>6</v>
      </c>
      <c r="AU311" s="6"/>
      <c r="AV311" s="6"/>
      <c r="AX311">
        <f t="shared" si="91"/>
        <v>-8</v>
      </c>
      <c r="BF311" s="6">
        <f t="shared" si="92"/>
        <v>-0.1010782246</v>
      </c>
    </row>
    <row r="312">
      <c r="B312" s="5" t="s">
        <v>15</v>
      </c>
      <c r="C312" s="12">
        <v>1.0</v>
      </c>
      <c r="D312" s="12">
        <v>0.0</v>
      </c>
      <c r="E312" s="6">
        <v>0.0</v>
      </c>
      <c r="F312" s="6">
        <v>0.0</v>
      </c>
      <c r="G312" s="12">
        <v>1.0</v>
      </c>
      <c r="H312" s="6">
        <v>0.0</v>
      </c>
      <c r="I312" s="6">
        <v>0.0</v>
      </c>
      <c r="J312" s="12">
        <v>0.0</v>
      </c>
      <c r="K312" s="6">
        <v>0.0</v>
      </c>
      <c r="L312" s="12">
        <v>0.0</v>
      </c>
      <c r="M312" s="12">
        <v>0.0</v>
      </c>
      <c r="N312" s="6">
        <v>0.0</v>
      </c>
      <c r="O312" s="6">
        <v>0.0</v>
      </c>
      <c r="P312" s="6">
        <v>0.0</v>
      </c>
      <c r="Q312" s="12">
        <v>0.0</v>
      </c>
      <c r="R312" s="12">
        <v>0.0</v>
      </c>
      <c r="S312" s="6">
        <v>0.0</v>
      </c>
      <c r="T312" s="6">
        <v>0.0</v>
      </c>
      <c r="U312" s="12">
        <v>0.0</v>
      </c>
      <c r="V312" s="23">
        <v>0.0</v>
      </c>
      <c r="W312" s="12"/>
      <c r="X312" s="6"/>
      <c r="Y312" s="6"/>
      <c r="Z312" s="6"/>
      <c r="AA312" s="6"/>
      <c r="AB312" s="12"/>
      <c r="AC312" s="12"/>
      <c r="AD312" s="6"/>
      <c r="AE312" s="6"/>
      <c r="AF312" s="12"/>
      <c r="AG312" s="6"/>
      <c r="AH312" s="6"/>
      <c r="AI312" s="12"/>
      <c r="AJ312" s="6"/>
      <c r="AK312" s="6"/>
      <c r="AL312" s="12"/>
      <c r="AM312" s="6"/>
      <c r="AN312" s="6"/>
      <c r="AO312" s="12"/>
      <c r="AP312" s="6"/>
      <c r="AR312" s="6">
        <f t="shared" si="89"/>
        <v>0.3077935056</v>
      </c>
      <c r="AT312" s="6">
        <f t="shared" si="90"/>
        <v>2</v>
      </c>
      <c r="AU312" s="6"/>
      <c r="AV312" s="6"/>
      <c r="AX312">
        <f t="shared" si="91"/>
        <v>-6</v>
      </c>
      <c r="BF312" s="6">
        <f t="shared" si="92"/>
        <v>-0.1948311843</v>
      </c>
    </row>
    <row r="313">
      <c r="B313" s="8" t="s">
        <v>16</v>
      </c>
      <c r="C313" s="12">
        <v>0.0</v>
      </c>
      <c r="D313" s="12">
        <v>0.0</v>
      </c>
      <c r="E313" s="6">
        <v>0.0</v>
      </c>
      <c r="F313" s="6">
        <v>0.0</v>
      </c>
      <c r="G313" s="12">
        <v>1.0</v>
      </c>
      <c r="H313" s="6">
        <v>0.0</v>
      </c>
      <c r="I313" s="6">
        <v>0.0</v>
      </c>
      <c r="J313" s="12">
        <v>0.0</v>
      </c>
      <c r="K313" s="6">
        <v>0.0</v>
      </c>
      <c r="L313" s="12">
        <v>0.0</v>
      </c>
      <c r="M313" s="12">
        <v>1.0</v>
      </c>
      <c r="N313" s="6">
        <v>0.0</v>
      </c>
      <c r="O313" s="6">
        <v>0.0</v>
      </c>
      <c r="P313" s="6">
        <v>0.0</v>
      </c>
      <c r="Q313" s="12">
        <v>0.0</v>
      </c>
      <c r="R313" s="12">
        <v>0.0</v>
      </c>
      <c r="S313" s="6">
        <v>0.0</v>
      </c>
      <c r="T313" s="6">
        <v>0.0</v>
      </c>
      <c r="U313" s="12">
        <v>1.0</v>
      </c>
      <c r="V313" s="23">
        <v>0.0</v>
      </c>
      <c r="W313" s="12"/>
      <c r="X313" s="6"/>
      <c r="Y313" s="6"/>
      <c r="Z313" s="6"/>
      <c r="AA313" s="6"/>
      <c r="AB313" s="12"/>
      <c r="AC313" s="12"/>
      <c r="AD313" s="6"/>
      <c r="AE313" s="6"/>
      <c r="AF313" s="12"/>
      <c r="AG313" s="6"/>
      <c r="AH313" s="6"/>
      <c r="AI313" s="12"/>
      <c r="AJ313" s="6"/>
      <c r="AK313" s="6"/>
      <c r="AL313" s="12"/>
      <c r="AM313" s="6"/>
      <c r="AN313" s="6"/>
      <c r="AO313" s="12"/>
      <c r="AP313" s="6"/>
      <c r="AR313" s="6">
        <f t="shared" si="89"/>
        <v>0.3663475485</v>
      </c>
      <c r="AT313" s="6">
        <f t="shared" si="90"/>
        <v>3</v>
      </c>
      <c r="AU313" s="6"/>
      <c r="AV313" s="6"/>
      <c r="AX313">
        <f t="shared" si="91"/>
        <v>-5</v>
      </c>
      <c r="BF313" s="6">
        <f t="shared" si="92"/>
        <v>-0.2318954931</v>
      </c>
    </row>
    <row r="314">
      <c r="B314" s="8" t="s">
        <v>17</v>
      </c>
      <c r="C314" s="12">
        <v>2.0</v>
      </c>
      <c r="D314" s="12">
        <v>0.0</v>
      </c>
      <c r="E314" s="6">
        <v>1.0</v>
      </c>
      <c r="F314" s="6">
        <v>0.0</v>
      </c>
      <c r="G314" s="12">
        <v>0.0</v>
      </c>
      <c r="H314" s="6">
        <v>0.0</v>
      </c>
      <c r="I314" s="6">
        <v>0.0</v>
      </c>
      <c r="J314" s="12">
        <v>0.0</v>
      </c>
      <c r="K314" s="6">
        <v>0.0</v>
      </c>
      <c r="L314" s="12">
        <v>1.0</v>
      </c>
      <c r="M314" s="12">
        <v>0.0</v>
      </c>
      <c r="N314" s="6">
        <v>0.0</v>
      </c>
      <c r="O314" s="6">
        <v>2.0</v>
      </c>
      <c r="P314" s="6">
        <v>0.0</v>
      </c>
      <c r="Q314" s="12">
        <v>0.0</v>
      </c>
      <c r="R314" s="12">
        <v>0.0</v>
      </c>
      <c r="S314" s="6">
        <v>0.0</v>
      </c>
      <c r="T314" s="6">
        <v>0.0</v>
      </c>
      <c r="U314" s="12">
        <v>0.0</v>
      </c>
      <c r="V314" s="23">
        <v>0.0</v>
      </c>
      <c r="W314" s="12"/>
      <c r="X314" s="6"/>
      <c r="Y314" s="6"/>
      <c r="Z314" s="6"/>
      <c r="AA314" s="6"/>
      <c r="AB314" s="12"/>
      <c r="AC314" s="12"/>
      <c r="AD314" s="6"/>
      <c r="AE314" s="6"/>
      <c r="AF314" s="12"/>
      <c r="AG314" s="6"/>
      <c r="AH314" s="6"/>
      <c r="AI314" s="12"/>
      <c r="AJ314" s="6"/>
      <c r="AK314" s="6"/>
      <c r="AL314" s="12"/>
      <c r="AM314" s="6"/>
      <c r="AN314" s="6"/>
      <c r="AO314" s="12"/>
      <c r="AP314" s="6"/>
      <c r="AR314" s="6">
        <f t="shared" si="89"/>
        <v>0.6569466853</v>
      </c>
      <c r="AT314" s="6">
        <f t="shared" si="90"/>
        <v>6</v>
      </c>
      <c r="AU314" s="6"/>
      <c r="AV314" s="6"/>
      <c r="AX314">
        <f t="shared" si="91"/>
        <v>2</v>
      </c>
      <c r="BF314" s="6">
        <f t="shared" si="92"/>
        <v>0.2465553445</v>
      </c>
    </row>
    <row r="315">
      <c r="B315" s="8" t="s">
        <v>18</v>
      </c>
      <c r="C315" s="12">
        <v>1.0</v>
      </c>
      <c r="D315" s="12">
        <v>1.0</v>
      </c>
      <c r="E315" s="6">
        <v>0.0</v>
      </c>
      <c r="F315" s="6">
        <v>0.0</v>
      </c>
      <c r="G315" s="12">
        <v>1.0</v>
      </c>
      <c r="H315" s="6">
        <v>0.0</v>
      </c>
      <c r="I315" s="6">
        <v>0.0</v>
      </c>
      <c r="J315" s="12">
        <v>0.0</v>
      </c>
      <c r="K315" s="6">
        <v>0.0</v>
      </c>
      <c r="L315" s="12">
        <v>0.0</v>
      </c>
      <c r="M315" s="12">
        <v>0.0</v>
      </c>
      <c r="N315" s="6">
        <v>0.0</v>
      </c>
      <c r="O315" s="6">
        <v>0.0</v>
      </c>
      <c r="P315" s="6">
        <v>0.0</v>
      </c>
      <c r="Q315" s="12">
        <v>0.0</v>
      </c>
      <c r="R315" s="12">
        <v>0.0</v>
      </c>
      <c r="S315" s="6">
        <v>0.0</v>
      </c>
      <c r="T315" s="6">
        <v>0.0</v>
      </c>
      <c r="U315" s="12">
        <v>1.0</v>
      </c>
      <c r="V315" s="23">
        <v>0.0</v>
      </c>
      <c r="W315" s="12"/>
      <c r="X315" s="6"/>
      <c r="Y315" s="6"/>
      <c r="Z315" s="6"/>
      <c r="AA315" s="6"/>
      <c r="AB315" s="12"/>
      <c r="AC315" s="12"/>
      <c r="AD315" s="6"/>
      <c r="AE315" s="6"/>
      <c r="AF315" s="12"/>
      <c r="AG315" s="6"/>
      <c r="AH315" s="6"/>
      <c r="AI315" s="12"/>
      <c r="AJ315" s="6"/>
      <c r="AK315" s="6"/>
      <c r="AL315" s="12"/>
      <c r="AM315" s="6"/>
      <c r="AN315" s="6"/>
      <c r="AO315" s="12"/>
      <c r="AP315" s="6"/>
      <c r="AR315" s="6">
        <f t="shared" si="89"/>
        <v>0.4103913408</v>
      </c>
      <c r="AT315" s="6">
        <f t="shared" si="90"/>
        <v>4</v>
      </c>
      <c r="AU315" s="6"/>
      <c r="AV315" s="6"/>
      <c r="AX315">
        <f t="shared" si="91"/>
        <v>-3</v>
      </c>
      <c r="BF315" s="6">
        <f t="shared" si="92"/>
        <v>-0.0789691441</v>
      </c>
    </row>
    <row r="316">
      <c r="B316" s="8" t="s">
        <v>19</v>
      </c>
      <c r="C316" s="12">
        <v>1.0</v>
      </c>
      <c r="D316" s="12">
        <v>0.0</v>
      </c>
      <c r="E316" s="6">
        <v>1.0</v>
      </c>
      <c r="F316" s="6">
        <v>0.0</v>
      </c>
      <c r="G316" s="12">
        <v>1.0</v>
      </c>
      <c r="H316" s="6">
        <v>1.0</v>
      </c>
      <c r="I316" s="6">
        <v>0.0</v>
      </c>
      <c r="J316" s="12">
        <v>1.0</v>
      </c>
      <c r="K316" s="6">
        <v>1.0</v>
      </c>
      <c r="L316" s="12">
        <v>0.0</v>
      </c>
      <c r="M316" s="12">
        <v>0.0</v>
      </c>
      <c r="N316" s="6">
        <v>1.0</v>
      </c>
      <c r="O316" s="6">
        <v>0.0</v>
      </c>
      <c r="P316" s="6">
        <v>0.0</v>
      </c>
      <c r="Q316" s="12">
        <v>0.0</v>
      </c>
      <c r="R316" s="12">
        <v>1.0</v>
      </c>
      <c r="S316" s="6">
        <v>0.0</v>
      </c>
      <c r="T316" s="6">
        <v>0.0</v>
      </c>
      <c r="U316" s="12">
        <v>0.0</v>
      </c>
      <c r="V316" s="23">
        <v>0.0</v>
      </c>
      <c r="W316" s="12"/>
      <c r="X316" s="6"/>
      <c r="Y316" s="6"/>
      <c r="Z316" s="6"/>
      <c r="AA316" s="6"/>
      <c r="AB316" s="12"/>
      <c r="AC316" s="12"/>
      <c r="AD316" s="6"/>
      <c r="AE316" s="6"/>
      <c r="AF316" s="12"/>
      <c r="AG316" s="6"/>
      <c r="AH316" s="6"/>
      <c r="AI316" s="12"/>
      <c r="AJ316" s="6"/>
      <c r="AK316" s="6"/>
      <c r="AL316" s="12"/>
      <c r="AM316" s="6"/>
      <c r="AN316" s="6"/>
      <c r="AO316" s="12"/>
      <c r="AP316" s="6"/>
      <c r="AR316" s="6">
        <f t="shared" si="89"/>
        <v>0.50262469</v>
      </c>
      <c r="AT316" s="6">
        <f t="shared" si="90"/>
        <v>8</v>
      </c>
      <c r="AU316" s="6"/>
      <c r="AV316" s="6"/>
      <c r="AX316">
        <f t="shared" si="91"/>
        <v>-7</v>
      </c>
      <c r="BF316" s="6">
        <f t="shared" si="92"/>
        <v>-0.1360416837</v>
      </c>
    </row>
    <row r="317">
      <c r="B317" s="8" t="s">
        <v>20</v>
      </c>
      <c r="C317" s="12">
        <v>1.0</v>
      </c>
      <c r="D317" s="12">
        <v>1.0</v>
      </c>
      <c r="E317" s="6">
        <v>0.0</v>
      </c>
      <c r="F317" s="6">
        <v>0.0</v>
      </c>
      <c r="G317" s="12">
        <v>1.0</v>
      </c>
      <c r="H317" s="6">
        <v>0.0</v>
      </c>
      <c r="I317" s="6">
        <v>0.0</v>
      </c>
      <c r="J317" s="12">
        <v>0.0</v>
      </c>
      <c r="K317" s="6">
        <v>0.0</v>
      </c>
      <c r="L317" s="12">
        <v>1.0</v>
      </c>
      <c r="M317" s="12">
        <v>1.0</v>
      </c>
      <c r="N317" s="6">
        <v>0.0</v>
      </c>
      <c r="O317" s="6">
        <v>1.0</v>
      </c>
      <c r="P317" s="6">
        <v>0.0</v>
      </c>
      <c r="Q317" s="12">
        <v>1.0</v>
      </c>
      <c r="R317" s="12">
        <v>0.0</v>
      </c>
      <c r="S317" s="6">
        <v>0.0</v>
      </c>
      <c r="T317" s="6">
        <v>0.0</v>
      </c>
      <c r="U317" s="12">
        <v>1.0</v>
      </c>
      <c r="V317" s="23">
        <v>0.0</v>
      </c>
      <c r="W317" s="12"/>
      <c r="X317" s="6"/>
      <c r="Y317" s="6"/>
      <c r="Z317" s="6"/>
      <c r="AA317" s="6"/>
      <c r="AB317" s="12"/>
      <c r="AC317" s="12"/>
      <c r="AD317" s="6"/>
      <c r="AE317" s="6"/>
      <c r="AF317" s="12"/>
      <c r="AG317" s="6"/>
      <c r="AH317" s="6"/>
      <c r="AI317" s="12"/>
      <c r="AJ317" s="6"/>
      <c r="AK317" s="6"/>
      <c r="AL317" s="12"/>
      <c r="AM317" s="6"/>
      <c r="AN317" s="6"/>
      <c r="AO317" s="12"/>
      <c r="AP317" s="6"/>
      <c r="AR317" s="6">
        <f t="shared" si="89"/>
        <v>0.50262469</v>
      </c>
      <c r="AT317" s="6">
        <f t="shared" si="90"/>
        <v>8</v>
      </c>
      <c r="AU317" s="6"/>
      <c r="AV317" s="6"/>
      <c r="AX317">
        <f t="shared" si="91"/>
        <v>2</v>
      </c>
      <c r="BF317" s="6">
        <f t="shared" si="92"/>
        <v>0.03246234397</v>
      </c>
    </row>
    <row r="318">
      <c r="B318" s="8" t="s">
        <v>21</v>
      </c>
      <c r="C318" s="12">
        <v>0.0</v>
      </c>
      <c r="D318" s="12">
        <v>0.0</v>
      </c>
      <c r="E318" s="6">
        <v>0.0</v>
      </c>
      <c r="F318" s="6">
        <v>0.0</v>
      </c>
      <c r="G318" s="12">
        <v>1.0</v>
      </c>
      <c r="H318" s="6">
        <v>0.0</v>
      </c>
      <c r="I318" s="6">
        <v>0.0</v>
      </c>
      <c r="J318" s="12">
        <v>0.0</v>
      </c>
      <c r="K318" s="6">
        <v>0.0</v>
      </c>
      <c r="L318" s="12">
        <v>0.0</v>
      </c>
      <c r="M318" s="12">
        <v>0.0</v>
      </c>
      <c r="N318" s="6">
        <v>0.0</v>
      </c>
      <c r="O318" s="6">
        <v>0.0</v>
      </c>
      <c r="P318" s="6">
        <v>0.0</v>
      </c>
      <c r="Q318" s="12">
        <v>0.0</v>
      </c>
      <c r="R318" s="12">
        <v>0.0</v>
      </c>
      <c r="S318" s="6">
        <v>0.0</v>
      </c>
      <c r="T318" s="6">
        <v>0.0</v>
      </c>
      <c r="U318" s="12">
        <v>0.0</v>
      </c>
      <c r="V318" s="23">
        <v>0.0</v>
      </c>
      <c r="W318" s="12"/>
      <c r="X318" s="6"/>
      <c r="Y318" s="6"/>
      <c r="Z318" s="6"/>
      <c r="AA318" s="6"/>
      <c r="AB318" s="12"/>
      <c r="AC318" s="12"/>
      <c r="AD318" s="6"/>
      <c r="AE318" s="6"/>
      <c r="AF318" s="12"/>
      <c r="AG318" s="6"/>
      <c r="AH318" s="6"/>
      <c r="AI318" s="12"/>
      <c r="AJ318" s="6"/>
      <c r="AK318" s="6"/>
      <c r="AL318" s="12"/>
      <c r="AM318" s="6"/>
      <c r="AN318" s="6"/>
      <c r="AO318" s="12"/>
      <c r="AP318" s="6"/>
      <c r="AR318" s="6">
        <f t="shared" si="89"/>
        <v>0.2236067977</v>
      </c>
      <c r="AT318" s="6">
        <f t="shared" si="90"/>
        <v>1</v>
      </c>
      <c r="AU318" s="6"/>
      <c r="AV318" s="6"/>
      <c r="AX318">
        <f t="shared" si="91"/>
        <v>-3</v>
      </c>
      <c r="BF318" s="6">
        <f t="shared" si="92"/>
        <v>-0.299541566</v>
      </c>
    </row>
    <row r="319">
      <c r="B319" s="8" t="s">
        <v>22</v>
      </c>
      <c r="C319" s="12">
        <v>0.0</v>
      </c>
      <c r="D319" s="12">
        <v>0.0</v>
      </c>
      <c r="E319" s="6">
        <v>0.0</v>
      </c>
      <c r="F319" s="6">
        <v>0.0</v>
      </c>
      <c r="G319" s="12">
        <v>0.0</v>
      </c>
      <c r="H319" s="6">
        <v>0.0</v>
      </c>
      <c r="I319" s="6">
        <v>0.0</v>
      </c>
      <c r="J319" s="12">
        <v>0.0</v>
      </c>
      <c r="K319" s="6">
        <v>0.0</v>
      </c>
      <c r="L319" s="12">
        <v>0.0</v>
      </c>
      <c r="M319" s="12">
        <v>0.0</v>
      </c>
      <c r="N319" s="6">
        <v>0.0</v>
      </c>
      <c r="O319" s="6">
        <v>0.0</v>
      </c>
      <c r="P319" s="6">
        <v>0.0</v>
      </c>
      <c r="Q319" s="12">
        <v>0.0</v>
      </c>
      <c r="R319" s="12">
        <v>0.0</v>
      </c>
      <c r="S319" s="6">
        <v>0.0</v>
      </c>
      <c r="T319" s="6">
        <v>0.0</v>
      </c>
      <c r="U319" s="12">
        <v>0.0</v>
      </c>
      <c r="V319" s="23">
        <v>0.0</v>
      </c>
      <c r="W319" s="12"/>
      <c r="X319" s="6"/>
      <c r="Y319" s="6"/>
      <c r="Z319" s="6"/>
      <c r="AA319" s="6"/>
      <c r="AB319" s="12"/>
      <c r="AC319" s="12"/>
      <c r="AD319" s="6"/>
      <c r="AE319" s="6"/>
      <c r="AF319" s="12"/>
      <c r="AG319" s="6"/>
      <c r="AH319" s="6"/>
      <c r="AI319" s="12"/>
      <c r="AJ319" s="6"/>
      <c r="AK319" s="6"/>
      <c r="AL319" s="12"/>
      <c r="AM319" s="6"/>
      <c r="AN319" s="6"/>
      <c r="AO319" s="12"/>
      <c r="AP319" s="6"/>
      <c r="AR319" s="6">
        <f t="shared" si="89"/>
        <v>0</v>
      </c>
      <c r="AT319" s="6">
        <f t="shared" si="90"/>
        <v>0</v>
      </c>
      <c r="AU319" s="6"/>
      <c r="AV319" s="6"/>
      <c r="AX319">
        <f t="shared" si="91"/>
        <v>-3</v>
      </c>
      <c r="BF319" s="6">
        <f t="shared" si="92"/>
        <v>-0.3663475485</v>
      </c>
    </row>
    <row r="320">
      <c r="B320" s="8" t="s">
        <v>23</v>
      </c>
      <c r="C320" s="12">
        <v>1.0</v>
      </c>
      <c r="D320" s="12">
        <v>1.0</v>
      </c>
      <c r="E320" s="6">
        <v>0.0</v>
      </c>
      <c r="F320" s="6">
        <v>0.0</v>
      </c>
      <c r="G320" s="12">
        <v>1.0</v>
      </c>
      <c r="H320" s="6">
        <v>1.0</v>
      </c>
      <c r="I320" s="6">
        <v>0.0</v>
      </c>
      <c r="J320" s="12">
        <v>1.0</v>
      </c>
      <c r="K320" s="6">
        <v>0.0</v>
      </c>
      <c r="L320" s="12">
        <v>0.0</v>
      </c>
      <c r="M320" s="12">
        <v>0.0</v>
      </c>
      <c r="N320" s="6">
        <v>1.0</v>
      </c>
      <c r="O320" s="6">
        <v>1.0</v>
      </c>
      <c r="P320" s="6">
        <v>1.0</v>
      </c>
      <c r="Q320" s="12">
        <v>1.0</v>
      </c>
      <c r="R320" s="12">
        <v>1.0</v>
      </c>
      <c r="S320" s="6">
        <v>0.0</v>
      </c>
      <c r="T320" s="6">
        <v>1.0</v>
      </c>
      <c r="U320" s="12">
        <v>2.0</v>
      </c>
      <c r="V320" s="23">
        <v>1.0</v>
      </c>
      <c r="W320" s="12"/>
      <c r="X320" s="6"/>
      <c r="Y320" s="6"/>
      <c r="Z320" s="6"/>
      <c r="AA320" s="6"/>
      <c r="AB320" s="12"/>
      <c r="AC320" s="12"/>
      <c r="AD320" s="6"/>
      <c r="AE320" s="6"/>
      <c r="AF320" s="12"/>
      <c r="AG320" s="6"/>
      <c r="AH320" s="6"/>
      <c r="AI320" s="12"/>
      <c r="AJ320" s="6"/>
      <c r="AK320" s="6"/>
      <c r="AL320" s="12"/>
      <c r="AM320" s="6"/>
      <c r="AN320" s="6"/>
      <c r="AO320" s="12"/>
      <c r="AP320" s="6"/>
      <c r="AR320" s="6">
        <f t="shared" si="89"/>
        <v>0.5712405706</v>
      </c>
      <c r="AT320" s="6">
        <f t="shared" si="90"/>
        <v>14</v>
      </c>
      <c r="AU320" s="6"/>
      <c r="AV320" s="6"/>
      <c r="AX320">
        <f t="shared" si="91"/>
        <v>-2</v>
      </c>
      <c r="BF320" s="6">
        <f t="shared" si="92"/>
        <v>-0.1246118034</v>
      </c>
    </row>
    <row r="321">
      <c r="B321" s="8" t="s">
        <v>24</v>
      </c>
      <c r="C321" s="12">
        <v>0.0</v>
      </c>
      <c r="D321" s="12">
        <v>0.0</v>
      </c>
      <c r="E321" s="6">
        <v>0.0</v>
      </c>
      <c r="F321" s="6">
        <v>0.0</v>
      </c>
      <c r="G321" s="12">
        <v>0.0</v>
      </c>
      <c r="H321" s="6">
        <v>0.0</v>
      </c>
      <c r="I321" s="6">
        <v>0.0</v>
      </c>
      <c r="J321" s="12">
        <v>1.0</v>
      </c>
      <c r="K321" s="6">
        <v>0.0</v>
      </c>
      <c r="L321" s="12">
        <v>1.0</v>
      </c>
      <c r="M321" s="12">
        <v>1.0</v>
      </c>
      <c r="N321" s="6">
        <v>1.0</v>
      </c>
      <c r="O321" s="6">
        <v>0.0</v>
      </c>
      <c r="P321" s="6">
        <v>0.0</v>
      </c>
      <c r="Q321" s="12">
        <v>0.0</v>
      </c>
      <c r="R321" s="12">
        <v>0.0</v>
      </c>
      <c r="S321" s="6">
        <v>0.0</v>
      </c>
      <c r="T321" s="6">
        <v>0.0</v>
      </c>
      <c r="U321" s="12">
        <v>0.0</v>
      </c>
      <c r="V321" s="23">
        <v>0.0</v>
      </c>
      <c r="W321" s="12"/>
      <c r="X321" s="6"/>
      <c r="Y321" s="6"/>
      <c r="Z321" s="6"/>
      <c r="AA321" s="6"/>
      <c r="AB321" s="12"/>
      <c r="AC321" s="12"/>
      <c r="AD321" s="6"/>
      <c r="AE321" s="6"/>
      <c r="AF321" s="12"/>
      <c r="AG321" s="6"/>
      <c r="AH321" s="6"/>
      <c r="AI321" s="12"/>
      <c r="AJ321" s="6"/>
      <c r="AK321" s="6"/>
      <c r="AL321" s="12"/>
      <c r="AM321" s="6"/>
      <c r="AN321" s="6"/>
      <c r="AO321" s="12"/>
      <c r="AP321" s="6"/>
      <c r="AR321" s="6">
        <f t="shared" si="89"/>
        <v>0.4103913408</v>
      </c>
      <c r="AT321" s="6">
        <f t="shared" si="90"/>
        <v>4</v>
      </c>
      <c r="AU321" s="6"/>
      <c r="AV321" s="6"/>
      <c r="AX321">
        <f t="shared" si="91"/>
        <v>-7</v>
      </c>
      <c r="BF321" s="6">
        <f t="shared" si="92"/>
        <v>-0.1000264447</v>
      </c>
    </row>
    <row r="322">
      <c r="B322" s="8" t="s">
        <v>25</v>
      </c>
      <c r="C322" s="12">
        <v>0.0</v>
      </c>
      <c r="D322" s="12">
        <v>0.0</v>
      </c>
      <c r="E322" s="6">
        <v>0.0</v>
      </c>
      <c r="F322" s="6">
        <v>0.0</v>
      </c>
      <c r="G322" s="12">
        <v>1.0</v>
      </c>
      <c r="H322" s="6">
        <v>0.0</v>
      </c>
      <c r="I322" s="6">
        <v>0.0</v>
      </c>
      <c r="J322" s="12">
        <v>0.0</v>
      </c>
      <c r="K322" s="6">
        <v>0.0</v>
      </c>
      <c r="L322" s="12">
        <v>0.0</v>
      </c>
      <c r="M322" s="12">
        <v>0.0</v>
      </c>
      <c r="N322" s="6">
        <v>0.0</v>
      </c>
      <c r="O322" s="6">
        <v>0.0</v>
      </c>
      <c r="P322" s="6">
        <v>0.0</v>
      </c>
      <c r="Q322" s="12">
        <v>0.0</v>
      </c>
      <c r="R322" s="12">
        <v>0.0</v>
      </c>
      <c r="S322" s="6">
        <v>0.0</v>
      </c>
      <c r="T322" s="6">
        <v>0.0</v>
      </c>
      <c r="U322" s="12">
        <v>1.0</v>
      </c>
      <c r="V322" s="23">
        <v>0.0</v>
      </c>
      <c r="W322" s="12"/>
      <c r="X322" s="6"/>
      <c r="Y322" s="6"/>
      <c r="Z322" s="6"/>
      <c r="AA322" s="6"/>
      <c r="AB322" s="12"/>
      <c r="AC322" s="12"/>
      <c r="AD322" s="6"/>
      <c r="AE322" s="6"/>
      <c r="AF322" s="12"/>
      <c r="AG322" s="6"/>
      <c r="AH322" s="6"/>
      <c r="AI322" s="12"/>
      <c r="AJ322" s="6"/>
      <c r="AK322" s="6"/>
      <c r="AL322" s="12"/>
      <c r="AM322" s="6"/>
      <c r="AN322" s="6"/>
      <c r="AO322" s="12"/>
      <c r="AP322" s="6"/>
      <c r="AR322" s="6">
        <f t="shared" si="89"/>
        <v>0.3077935056</v>
      </c>
      <c r="AT322" s="6">
        <f t="shared" si="90"/>
        <v>2</v>
      </c>
      <c r="AU322" s="6"/>
      <c r="AV322" s="6"/>
      <c r="AX322">
        <f t="shared" si="91"/>
        <v>-7</v>
      </c>
      <c r="BF322" s="6">
        <f t="shared" si="92"/>
        <v>-0.2970118132</v>
      </c>
    </row>
    <row r="323">
      <c r="B323" s="8" t="s">
        <v>26</v>
      </c>
      <c r="C323" s="12">
        <v>0.0</v>
      </c>
      <c r="D323" s="12">
        <v>0.0</v>
      </c>
      <c r="E323" s="6">
        <v>0.0</v>
      </c>
      <c r="F323" s="6">
        <v>0.0</v>
      </c>
      <c r="G323" s="12">
        <v>0.0</v>
      </c>
      <c r="H323" s="6">
        <v>0.0</v>
      </c>
      <c r="I323" s="6">
        <v>0.0</v>
      </c>
      <c r="J323" s="12">
        <v>0.0</v>
      </c>
      <c r="K323" s="6">
        <v>0.0</v>
      </c>
      <c r="L323" s="12">
        <v>0.0</v>
      </c>
      <c r="M323" s="12">
        <v>0.0</v>
      </c>
      <c r="N323" s="6">
        <v>0.0</v>
      </c>
      <c r="O323" s="6">
        <v>0.0</v>
      </c>
      <c r="P323" s="6">
        <v>0.0</v>
      </c>
      <c r="Q323" s="12">
        <v>0.0</v>
      </c>
      <c r="R323" s="12">
        <v>0.0</v>
      </c>
      <c r="S323" s="6">
        <v>0.0</v>
      </c>
      <c r="T323" s="6">
        <v>0.0</v>
      </c>
      <c r="U323" s="12">
        <v>0.0</v>
      </c>
      <c r="V323" s="23">
        <v>0.0</v>
      </c>
      <c r="W323" s="12"/>
      <c r="X323" s="6"/>
      <c r="Y323" s="6"/>
      <c r="Z323" s="6"/>
      <c r="AA323" s="6"/>
      <c r="AB323" s="12"/>
      <c r="AC323" s="12"/>
      <c r="AD323" s="6"/>
      <c r="AE323" s="6"/>
      <c r="AF323" s="12"/>
      <c r="AG323" s="6"/>
      <c r="AH323" s="6"/>
      <c r="AI323" s="12"/>
      <c r="AJ323" s="6"/>
      <c r="AK323" s="6"/>
      <c r="AL323" s="12"/>
      <c r="AM323" s="6"/>
      <c r="AN323" s="6"/>
      <c r="AO323" s="12"/>
      <c r="AP323" s="6"/>
      <c r="AR323" s="6">
        <f t="shared" si="89"/>
        <v>0</v>
      </c>
      <c r="AT323" s="6">
        <f t="shared" si="90"/>
        <v>0</v>
      </c>
      <c r="AU323" s="6"/>
      <c r="AV323" s="6"/>
      <c r="AX323">
        <f t="shared" si="91"/>
        <v>-6</v>
      </c>
      <c r="BF323" s="6">
        <f t="shared" si="92"/>
        <v>-0.470162346</v>
      </c>
    </row>
    <row r="324">
      <c r="B324" s="9" t="s">
        <v>27</v>
      </c>
      <c r="C324" s="12">
        <v>1.0</v>
      </c>
      <c r="D324" s="12">
        <v>1.0</v>
      </c>
      <c r="E324" s="6">
        <v>1.0</v>
      </c>
      <c r="F324" s="6">
        <v>1.0</v>
      </c>
      <c r="G324" s="12">
        <v>0.0</v>
      </c>
      <c r="H324" s="6">
        <v>0.0</v>
      </c>
      <c r="I324" s="6">
        <v>0.0</v>
      </c>
      <c r="J324" s="12">
        <v>0.0</v>
      </c>
      <c r="K324" s="6">
        <v>0.0</v>
      </c>
      <c r="L324" s="12">
        <v>0.0</v>
      </c>
      <c r="M324" s="12">
        <v>1.0</v>
      </c>
      <c r="N324" s="6">
        <v>0.0</v>
      </c>
      <c r="O324" s="6">
        <v>0.0</v>
      </c>
      <c r="P324" s="6">
        <v>0.0</v>
      </c>
      <c r="Q324" s="12">
        <v>0.0</v>
      </c>
      <c r="R324" s="12">
        <v>0.0</v>
      </c>
      <c r="S324" s="6">
        <v>0.0</v>
      </c>
      <c r="T324" s="6">
        <v>0.0</v>
      </c>
      <c r="U324" s="12">
        <v>0.0</v>
      </c>
      <c r="V324" s="23">
        <v>0.0</v>
      </c>
      <c r="W324" s="12"/>
      <c r="X324" s="6"/>
      <c r="Y324" s="6"/>
      <c r="Z324" s="6"/>
      <c r="AA324" s="6"/>
      <c r="AB324" s="12"/>
      <c r="AC324" s="12"/>
      <c r="AD324" s="6"/>
      <c r="AE324" s="6"/>
      <c r="AF324" s="12"/>
      <c r="AG324" s="6"/>
      <c r="AH324" s="6"/>
      <c r="AI324" s="12"/>
      <c r="AJ324" s="6"/>
      <c r="AK324" s="6"/>
      <c r="AL324" s="12"/>
      <c r="AM324" s="6"/>
      <c r="AN324" s="6"/>
      <c r="AO324" s="12"/>
      <c r="AP324" s="6"/>
      <c r="AR324" s="6">
        <f t="shared" si="89"/>
        <v>0.4442616583</v>
      </c>
      <c r="AT324" s="6">
        <f t="shared" si="90"/>
        <v>5</v>
      </c>
      <c r="AU324" s="6"/>
      <c r="AV324" s="6"/>
      <c r="AX324">
        <f t="shared" si="91"/>
        <v>3</v>
      </c>
      <c r="BF324" s="6">
        <f t="shared" si="92"/>
        <v>0.1364681527</v>
      </c>
    </row>
    <row r="325">
      <c r="B325" s="9" t="s">
        <v>28</v>
      </c>
      <c r="C325" s="12">
        <v>1.0</v>
      </c>
      <c r="D325" s="12">
        <v>1.0</v>
      </c>
      <c r="E325" s="6">
        <v>0.0</v>
      </c>
      <c r="F325" s="6">
        <v>0.0</v>
      </c>
      <c r="G325" s="12">
        <v>0.0</v>
      </c>
      <c r="H325" s="6">
        <v>0.0</v>
      </c>
      <c r="I325" s="6">
        <v>0.0</v>
      </c>
      <c r="J325" s="12">
        <v>0.0</v>
      </c>
      <c r="K325" s="6">
        <v>0.0</v>
      </c>
      <c r="L325" s="12">
        <v>0.0</v>
      </c>
      <c r="M325" s="12">
        <v>1.0</v>
      </c>
      <c r="N325" s="6">
        <v>0.0</v>
      </c>
      <c r="O325" s="6">
        <v>0.0</v>
      </c>
      <c r="P325" s="6">
        <v>0.0</v>
      </c>
      <c r="Q325" s="12">
        <v>0.0</v>
      </c>
      <c r="R325" s="12">
        <v>0.0</v>
      </c>
      <c r="S325" s="6">
        <v>0.0</v>
      </c>
      <c r="T325" s="6">
        <v>0.0</v>
      </c>
      <c r="U325" s="12">
        <v>1.0</v>
      </c>
      <c r="V325" s="23">
        <v>0.0</v>
      </c>
      <c r="W325" s="12"/>
      <c r="X325" s="6"/>
      <c r="Y325" s="6"/>
      <c r="Z325" s="6"/>
      <c r="AA325" s="6"/>
      <c r="AB325" s="12"/>
      <c r="AC325" s="12"/>
      <c r="AD325" s="6"/>
      <c r="AE325" s="6"/>
      <c r="AF325" s="12"/>
      <c r="AG325" s="6"/>
      <c r="AH325" s="6"/>
      <c r="AI325" s="12"/>
      <c r="AJ325" s="6"/>
      <c r="AK325" s="6"/>
      <c r="AL325" s="12"/>
      <c r="AM325" s="6"/>
      <c r="AN325" s="6"/>
      <c r="AO325" s="12"/>
      <c r="AP325" s="6"/>
      <c r="AR325" s="6">
        <f t="shared" si="89"/>
        <v>0.4103913408</v>
      </c>
      <c r="AT325" s="6">
        <f t="shared" si="90"/>
        <v>4</v>
      </c>
      <c r="AU325" s="6"/>
      <c r="AV325" s="6"/>
      <c r="AX325">
        <f t="shared" si="91"/>
        <v>-4</v>
      </c>
      <c r="BF325" s="6">
        <f t="shared" si="92"/>
        <v>-0.09223334912</v>
      </c>
    </row>
    <row r="326">
      <c r="B326" s="8" t="s">
        <v>29</v>
      </c>
      <c r="C326" s="12">
        <v>0.0</v>
      </c>
      <c r="D326" s="12">
        <v>0.0</v>
      </c>
      <c r="E326" s="6">
        <v>0.0</v>
      </c>
      <c r="F326" s="6">
        <v>0.0</v>
      </c>
      <c r="G326" s="12">
        <v>0.0</v>
      </c>
      <c r="H326" s="6">
        <v>0.0</v>
      </c>
      <c r="I326" s="6">
        <v>0.0</v>
      </c>
      <c r="J326" s="12">
        <v>0.0</v>
      </c>
      <c r="K326" s="6">
        <v>0.0</v>
      </c>
      <c r="L326" s="12">
        <v>0.0</v>
      </c>
      <c r="M326" s="12">
        <v>1.0</v>
      </c>
      <c r="N326" s="6">
        <v>0.0</v>
      </c>
      <c r="O326" s="6">
        <v>0.0</v>
      </c>
      <c r="P326" s="6">
        <v>0.0</v>
      </c>
      <c r="Q326" s="12">
        <v>1.0</v>
      </c>
      <c r="R326" s="12">
        <v>0.0</v>
      </c>
      <c r="S326" s="6">
        <v>0.0</v>
      </c>
      <c r="T326" s="6">
        <v>0.0</v>
      </c>
      <c r="U326" s="12">
        <v>1.0</v>
      </c>
      <c r="V326" s="23">
        <v>0.0</v>
      </c>
      <c r="W326" s="12"/>
      <c r="X326" s="6"/>
      <c r="Y326" s="6"/>
      <c r="Z326" s="6"/>
      <c r="AA326" s="6"/>
      <c r="AB326" s="12"/>
      <c r="AC326" s="12"/>
      <c r="AD326" s="6"/>
      <c r="AE326" s="6"/>
      <c r="AF326" s="12"/>
      <c r="AG326" s="6"/>
      <c r="AH326" s="6"/>
      <c r="AI326" s="12"/>
      <c r="AJ326" s="6"/>
      <c r="AK326" s="6"/>
      <c r="AL326" s="12"/>
      <c r="AM326" s="6"/>
      <c r="AN326" s="6"/>
      <c r="AO326" s="12"/>
      <c r="AP326" s="6"/>
      <c r="AR326" s="6">
        <f t="shared" si="89"/>
        <v>0.3663475485</v>
      </c>
      <c r="AT326" s="6">
        <f t="shared" si="90"/>
        <v>3</v>
      </c>
      <c r="AU326" s="6"/>
      <c r="AV326" s="6"/>
      <c r="AX326">
        <f t="shared" si="91"/>
        <v>-6</v>
      </c>
      <c r="BF326" s="6">
        <f t="shared" si="92"/>
        <v>-0.144070237</v>
      </c>
    </row>
    <row r="327">
      <c r="B327" s="8" t="s">
        <v>30</v>
      </c>
      <c r="C327" s="12">
        <v>1.0</v>
      </c>
      <c r="D327" s="12">
        <v>1.0</v>
      </c>
      <c r="E327" s="6">
        <v>1.0</v>
      </c>
      <c r="F327" s="6">
        <v>0.0</v>
      </c>
      <c r="G327" s="12">
        <v>1.0</v>
      </c>
      <c r="H327" s="6">
        <v>1.0</v>
      </c>
      <c r="I327" s="6">
        <v>0.0</v>
      </c>
      <c r="J327" s="12">
        <v>1.0</v>
      </c>
      <c r="K327" s="6">
        <v>0.0</v>
      </c>
      <c r="L327" s="12">
        <v>1.0</v>
      </c>
      <c r="M327" s="12">
        <v>1.0</v>
      </c>
      <c r="N327" s="6">
        <v>0.0</v>
      </c>
      <c r="O327" s="6">
        <v>0.0</v>
      </c>
      <c r="P327" s="6">
        <v>0.0</v>
      </c>
      <c r="Q327" s="12">
        <v>1.0</v>
      </c>
      <c r="R327" s="12">
        <v>1.0</v>
      </c>
      <c r="S327" s="6">
        <v>0.0</v>
      </c>
      <c r="T327" s="6">
        <v>0.0</v>
      </c>
      <c r="U327" s="12">
        <v>2.0</v>
      </c>
      <c r="V327" s="23">
        <v>2.0</v>
      </c>
      <c r="W327" s="12"/>
      <c r="X327" s="6"/>
      <c r="Y327" s="6"/>
      <c r="Z327" s="6"/>
      <c r="AA327" s="6"/>
      <c r="AB327" s="12"/>
      <c r="AC327" s="12"/>
      <c r="AD327" s="6"/>
      <c r="AE327" s="6"/>
      <c r="AF327" s="12"/>
      <c r="AG327" s="6"/>
      <c r="AH327" s="6"/>
      <c r="AI327" s="12"/>
      <c r="AJ327" s="6"/>
      <c r="AK327" s="6"/>
      <c r="AL327" s="12"/>
      <c r="AM327" s="6"/>
      <c r="AN327" s="6"/>
      <c r="AO327" s="12"/>
      <c r="AP327" s="6"/>
      <c r="AR327" s="6">
        <f t="shared" si="89"/>
        <v>0.6569466853</v>
      </c>
      <c r="AT327" s="6">
        <f t="shared" si="90"/>
        <v>14</v>
      </c>
      <c r="AU327" s="6"/>
      <c r="AV327" s="6"/>
      <c r="AX327">
        <f t="shared" si="91"/>
        <v>1</v>
      </c>
      <c r="BF327" s="6">
        <f t="shared" si="92"/>
        <v>0.06980373672</v>
      </c>
    </row>
    <row r="328">
      <c r="B328" s="8" t="s">
        <v>31</v>
      </c>
      <c r="C328" s="12">
        <v>2.0</v>
      </c>
      <c r="D328" s="12">
        <v>2.0</v>
      </c>
      <c r="E328" s="6">
        <v>2.0</v>
      </c>
      <c r="F328" s="6">
        <v>2.0</v>
      </c>
      <c r="G328" s="12">
        <v>3.0</v>
      </c>
      <c r="H328" s="6">
        <v>1.0</v>
      </c>
      <c r="I328" s="6">
        <v>0.0</v>
      </c>
      <c r="J328" s="12">
        <v>2.0</v>
      </c>
      <c r="K328" s="6">
        <v>0.0</v>
      </c>
      <c r="L328" s="12">
        <v>0.0</v>
      </c>
      <c r="M328" s="12">
        <v>2.0</v>
      </c>
      <c r="N328" s="6">
        <v>0.0</v>
      </c>
      <c r="O328" s="6">
        <v>0.0</v>
      </c>
      <c r="P328" s="6">
        <v>0.0</v>
      </c>
      <c r="Q328" s="12">
        <v>1.0</v>
      </c>
      <c r="R328" s="12">
        <v>1.0</v>
      </c>
      <c r="S328" s="6">
        <v>0.0</v>
      </c>
      <c r="T328" s="6">
        <v>0.0</v>
      </c>
      <c r="U328" s="12">
        <v>1.0</v>
      </c>
      <c r="V328" s="23">
        <v>1.0</v>
      </c>
      <c r="W328" s="12"/>
      <c r="X328" s="6"/>
      <c r="Y328" s="6"/>
      <c r="Z328" s="6"/>
      <c r="AA328" s="6"/>
      <c r="AB328" s="12"/>
      <c r="AC328" s="12"/>
      <c r="AD328" s="6"/>
      <c r="AE328" s="6"/>
      <c r="AF328" s="12"/>
      <c r="AG328" s="6"/>
      <c r="AH328" s="6"/>
      <c r="AI328" s="12"/>
      <c r="AJ328" s="6"/>
      <c r="AK328" s="6"/>
      <c r="AL328" s="12"/>
      <c r="AM328" s="6"/>
      <c r="AN328" s="6"/>
      <c r="AO328" s="12"/>
      <c r="AP328" s="6"/>
      <c r="AR328" s="6">
        <f t="shared" si="89"/>
        <v>0.9733285268</v>
      </c>
      <c r="AT328" s="6">
        <f t="shared" si="90"/>
        <v>20</v>
      </c>
      <c r="AU328" s="6"/>
      <c r="AV328" s="6"/>
      <c r="AX328">
        <f t="shared" si="91"/>
        <v>-11</v>
      </c>
      <c r="BF328" s="6">
        <f t="shared" si="92"/>
        <v>0.2141738723</v>
      </c>
    </row>
    <row r="329">
      <c r="B329" s="8" t="s">
        <v>32</v>
      </c>
      <c r="C329" s="12">
        <v>0.0</v>
      </c>
      <c r="D329" s="12">
        <v>0.0</v>
      </c>
      <c r="E329" s="6">
        <v>0.0</v>
      </c>
      <c r="F329" s="6">
        <v>0.0</v>
      </c>
      <c r="G329" s="12">
        <v>1.0</v>
      </c>
      <c r="H329" s="6">
        <v>0.0</v>
      </c>
      <c r="I329" s="6">
        <v>1.0</v>
      </c>
      <c r="J329" s="12">
        <v>1.0</v>
      </c>
      <c r="K329" s="6">
        <v>0.0</v>
      </c>
      <c r="L329" s="12">
        <v>0.0</v>
      </c>
      <c r="M329" s="12">
        <v>0.0</v>
      </c>
      <c r="N329" s="6">
        <v>0.0</v>
      </c>
      <c r="O329" s="6">
        <v>0.0</v>
      </c>
      <c r="P329" s="6">
        <v>0.0</v>
      </c>
      <c r="Q329" s="12">
        <v>0.0</v>
      </c>
      <c r="R329" s="12">
        <v>0.0</v>
      </c>
      <c r="S329" s="6">
        <v>0.0</v>
      </c>
      <c r="T329" s="6">
        <v>0.0</v>
      </c>
      <c r="U329" s="12">
        <v>0.0</v>
      </c>
      <c r="V329" s="23">
        <v>0.0</v>
      </c>
      <c r="W329" s="12"/>
      <c r="X329" s="6"/>
      <c r="Y329" s="6"/>
      <c r="Z329" s="6"/>
      <c r="AA329" s="6"/>
      <c r="AB329" s="12"/>
      <c r="AC329" s="12"/>
      <c r="AD329" s="6"/>
      <c r="AE329" s="6"/>
      <c r="AF329" s="12"/>
      <c r="AG329" s="6"/>
      <c r="AH329" s="6"/>
      <c r="AI329" s="12"/>
      <c r="AJ329" s="6"/>
      <c r="AK329" s="6"/>
      <c r="AL329" s="12"/>
      <c r="AM329" s="6"/>
      <c r="AN329" s="6"/>
      <c r="AO329" s="12"/>
      <c r="AP329" s="6"/>
      <c r="AR329" s="6">
        <f t="shared" si="89"/>
        <v>0.3663475485</v>
      </c>
      <c r="AT329" s="6">
        <f t="shared" si="90"/>
        <v>3</v>
      </c>
      <c r="AU329" s="6"/>
      <c r="AV329" s="6"/>
      <c r="AX329">
        <f t="shared" si="91"/>
        <v>-9</v>
      </c>
      <c r="BF329" s="6">
        <f t="shared" si="92"/>
        <v>-0.2318954931</v>
      </c>
    </row>
    <row r="330">
      <c r="B330" s="8" t="s">
        <v>33</v>
      </c>
      <c r="C330" s="12">
        <v>1.0</v>
      </c>
      <c r="D330" s="12">
        <v>0.0</v>
      </c>
      <c r="E330" s="6">
        <v>0.0</v>
      </c>
      <c r="F330" s="6">
        <v>1.0</v>
      </c>
      <c r="G330" s="12">
        <v>2.0</v>
      </c>
      <c r="H330" s="6">
        <v>1.0</v>
      </c>
      <c r="I330" s="6">
        <v>1.0</v>
      </c>
      <c r="J330" s="12">
        <v>2.0</v>
      </c>
      <c r="K330" s="6">
        <v>0.0</v>
      </c>
      <c r="L330" s="12">
        <v>2.0</v>
      </c>
      <c r="M330" s="12">
        <v>1.0</v>
      </c>
      <c r="N330" s="6">
        <v>0.0</v>
      </c>
      <c r="O330" s="6">
        <v>0.0</v>
      </c>
      <c r="P330" s="6">
        <v>2.0</v>
      </c>
      <c r="Q330" s="12">
        <v>2.0</v>
      </c>
      <c r="R330" s="12">
        <v>2.0</v>
      </c>
      <c r="S330" s="6">
        <v>1.0</v>
      </c>
      <c r="T330" s="6">
        <v>0.0</v>
      </c>
      <c r="U330" s="12">
        <v>2.0</v>
      </c>
      <c r="V330" s="23">
        <v>2.0</v>
      </c>
      <c r="W330" s="12"/>
      <c r="X330" s="6"/>
      <c r="Y330" s="6"/>
      <c r="Z330" s="6"/>
      <c r="AA330" s="6"/>
      <c r="AB330" s="12"/>
      <c r="AC330" s="12"/>
      <c r="AD330" s="6"/>
      <c r="AE330" s="6"/>
      <c r="AF330" s="12"/>
      <c r="AG330" s="6"/>
      <c r="AH330" s="6"/>
      <c r="AI330" s="12"/>
      <c r="AJ330" s="6"/>
      <c r="AK330" s="6"/>
      <c r="AL330" s="12"/>
      <c r="AM330" s="6"/>
      <c r="AN330" s="6"/>
      <c r="AO330" s="12"/>
      <c r="AP330" s="6"/>
      <c r="AR330" s="6">
        <f t="shared" si="89"/>
        <v>0.8522416262</v>
      </c>
      <c r="AT330" s="6">
        <f t="shared" si="90"/>
        <v>22</v>
      </c>
      <c r="AU330" s="6"/>
      <c r="AV330" s="6"/>
      <c r="AX330">
        <f t="shared" si="91"/>
        <v>11</v>
      </c>
      <c r="BF330" s="6">
        <f t="shared" si="92"/>
        <v>0.2474363074</v>
      </c>
    </row>
    <row r="331">
      <c r="B331" s="8" t="s">
        <v>34</v>
      </c>
      <c r="C331" s="12">
        <v>0.0</v>
      </c>
      <c r="D331" s="12">
        <v>1.0</v>
      </c>
      <c r="E331" s="6">
        <v>0.0</v>
      </c>
      <c r="F331" s="6">
        <v>0.0</v>
      </c>
      <c r="G331" s="12">
        <v>2.0</v>
      </c>
      <c r="H331" s="6">
        <v>0.0</v>
      </c>
      <c r="I331" s="6">
        <v>0.0</v>
      </c>
      <c r="J331" s="12">
        <v>2.0</v>
      </c>
      <c r="K331" s="6">
        <v>0.0</v>
      </c>
      <c r="L331" s="12">
        <v>0.0</v>
      </c>
      <c r="M331" s="12">
        <v>1.0</v>
      </c>
      <c r="N331" s="6">
        <v>0.0</v>
      </c>
      <c r="O331" s="6">
        <v>0.0</v>
      </c>
      <c r="P331" s="6">
        <v>1.0</v>
      </c>
      <c r="Q331" s="12">
        <v>0.0</v>
      </c>
      <c r="R331" s="12">
        <v>1.0</v>
      </c>
      <c r="S331" s="6">
        <v>0.0</v>
      </c>
      <c r="T331" s="6">
        <v>0.0</v>
      </c>
      <c r="U331" s="12">
        <v>1.0</v>
      </c>
      <c r="V331" s="23">
        <v>0.0</v>
      </c>
      <c r="W331" s="12"/>
      <c r="X331" s="6"/>
      <c r="Y331" s="6"/>
      <c r="Z331" s="6"/>
      <c r="AA331" s="6"/>
      <c r="AB331" s="12"/>
      <c r="AC331" s="12"/>
      <c r="AD331" s="6"/>
      <c r="AE331" s="6"/>
      <c r="AF331" s="12"/>
      <c r="AG331" s="6"/>
      <c r="AH331" s="6"/>
      <c r="AI331" s="12"/>
      <c r="AJ331" s="6"/>
      <c r="AK331" s="6"/>
      <c r="AL331" s="12"/>
      <c r="AM331" s="6"/>
      <c r="AN331" s="6"/>
      <c r="AO331" s="12"/>
      <c r="AP331" s="6"/>
      <c r="AR331" s="6">
        <f t="shared" si="89"/>
        <v>0.6863327412</v>
      </c>
      <c r="AT331" s="6">
        <f t="shared" si="90"/>
        <v>9</v>
      </c>
      <c r="AU331" s="6"/>
      <c r="AV331" s="6"/>
      <c r="AX331">
        <f t="shared" si="91"/>
        <v>-6</v>
      </c>
      <c r="BF331" s="6">
        <f t="shared" si="92"/>
        <v>0.04766636749</v>
      </c>
    </row>
    <row r="332">
      <c r="B332" s="8" t="s">
        <v>35</v>
      </c>
      <c r="C332" s="12">
        <v>0.0</v>
      </c>
      <c r="D332" s="12">
        <v>1.0</v>
      </c>
      <c r="E332" s="6">
        <v>0.0</v>
      </c>
      <c r="F332" s="6">
        <v>0.0</v>
      </c>
      <c r="G332" s="12">
        <v>1.0</v>
      </c>
      <c r="H332" s="6">
        <v>0.0</v>
      </c>
      <c r="I332" s="6">
        <v>0.0</v>
      </c>
      <c r="J332" s="12">
        <v>0.0</v>
      </c>
      <c r="K332" s="6">
        <v>0.0</v>
      </c>
      <c r="L332" s="12">
        <v>0.0</v>
      </c>
      <c r="M332" s="12">
        <v>1.0</v>
      </c>
      <c r="N332" s="6">
        <v>0.0</v>
      </c>
      <c r="O332" s="6">
        <v>0.0</v>
      </c>
      <c r="P332" s="6">
        <v>1.0</v>
      </c>
      <c r="Q332" s="12">
        <v>0.0</v>
      </c>
      <c r="R332" s="12">
        <v>0.0</v>
      </c>
      <c r="S332" s="6">
        <v>0.0</v>
      </c>
      <c r="T332" s="6">
        <v>0.0</v>
      </c>
      <c r="U332" s="12">
        <v>1.0</v>
      </c>
      <c r="V332" s="23">
        <v>0.0</v>
      </c>
      <c r="W332" s="12"/>
      <c r="X332" s="6"/>
      <c r="Y332" s="6"/>
      <c r="Z332" s="6"/>
      <c r="AA332" s="6"/>
      <c r="AB332" s="12"/>
      <c r="AC332" s="12"/>
      <c r="AD332" s="6"/>
      <c r="AE332" s="6"/>
      <c r="AF332" s="12"/>
      <c r="AG332" s="6"/>
      <c r="AH332" s="6"/>
      <c r="AI332" s="12"/>
      <c r="AJ332" s="6"/>
      <c r="AK332" s="6"/>
      <c r="AL332" s="12"/>
      <c r="AM332" s="6"/>
      <c r="AN332" s="6"/>
      <c r="AO332" s="12"/>
      <c r="AP332" s="6"/>
      <c r="AR332" s="6">
        <f t="shared" si="89"/>
        <v>0.4442616583</v>
      </c>
      <c r="AT332" s="6">
        <f t="shared" si="90"/>
        <v>5</v>
      </c>
      <c r="AU332" s="6"/>
      <c r="AV332" s="6"/>
      <c r="AX332">
        <f t="shared" si="91"/>
        <v>5</v>
      </c>
      <c r="BF332" s="6">
        <f t="shared" si="92"/>
        <v>0.4442616583</v>
      </c>
    </row>
    <row r="333">
      <c r="B333" s="8" t="s">
        <v>36</v>
      </c>
      <c r="C333" s="12">
        <v>2.0</v>
      </c>
      <c r="D333" s="12">
        <v>1.0</v>
      </c>
      <c r="E333" s="6">
        <v>0.0</v>
      </c>
      <c r="F333" s="6">
        <v>1.0</v>
      </c>
      <c r="G333" s="12">
        <v>1.0</v>
      </c>
      <c r="H333" s="6">
        <v>0.0</v>
      </c>
      <c r="I333" s="6">
        <v>0.0</v>
      </c>
      <c r="J333" s="12">
        <v>2.0</v>
      </c>
      <c r="K333" s="6">
        <v>0.0</v>
      </c>
      <c r="L333" s="12">
        <v>0.0</v>
      </c>
      <c r="M333" s="12">
        <v>1.0</v>
      </c>
      <c r="N333" s="6">
        <v>0.0</v>
      </c>
      <c r="O333" s="6">
        <v>0.0</v>
      </c>
      <c r="P333" s="6">
        <v>1.0</v>
      </c>
      <c r="Q333" s="12">
        <v>0.0</v>
      </c>
      <c r="R333" s="12">
        <v>0.0</v>
      </c>
      <c r="S333" s="6">
        <v>0.0</v>
      </c>
      <c r="T333" s="6">
        <v>0.0</v>
      </c>
      <c r="U333" s="12">
        <v>1.0</v>
      </c>
      <c r="V333" s="23">
        <v>1.0</v>
      </c>
      <c r="W333" s="12"/>
      <c r="X333" s="6"/>
      <c r="Y333" s="6"/>
      <c r="Z333" s="6"/>
      <c r="AA333" s="6"/>
      <c r="AB333" s="12"/>
      <c r="AC333" s="12"/>
      <c r="AD333" s="6"/>
      <c r="AE333" s="6"/>
      <c r="AF333" s="12"/>
      <c r="AG333" s="6"/>
      <c r="AH333" s="6"/>
      <c r="AI333" s="12"/>
      <c r="AJ333" s="6"/>
      <c r="AK333" s="6"/>
      <c r="AL333" s="12"/>
      <c r="AM333" s="6"/>
      <c r="AN333" s="6"/>
      <c r="AO333" s="12"/>
      <c r="AP333" s="6"/>
      <c r="AR333" s="6">
        <f t="shared" si="89"/>
        <v>0.6863327412</v>
      </c>
      <c r="AT333" s="6">
        <f t="shared" si="90"/>
        <v>11</v>
      </c>
      <c r="AU333" s="6"/>
      <c r="AV333" s="6"/>
      <c r="AX333">
        <f t="shared" si="91"/>
        <v>5</v>
      </c>
      <c r="BF333" s="6">
        <f t="shared" si="92"/>
        <v>-0.114981968</v>
      </c>
    </row>
    <row r="335">
      <c r="B335" s="2" t="s">
        <v>127</v>
      </c>
      <c r="C335" s="3">
        <v>1.0</v>
      </c>
      <c r="D335" s="3">
        <v>2.0</v>
      </c>
      <c r="E335" s="3">
        <v>3.0</v>
      </c>
      <c r="F335" s="3">
        <v>4.0</v>
      </c>
      <c r="G335" s="3">
        <v>5.0</v>
      </c>
      <c r="H335" s="3">
        <v>6.0</v>
      </c>
      <c r="I335" s="3">
        <v>7.0</v>
      </c>
      <c r="J335" s="3">
        <v>8.0</v>
      </c>
      <c r="K335" s="3">
        <v>9.0</v>
      </c>
      <c r="L335" s="3">
        <v>10.0</v>
      </c>
      <c r="M335" s="3">
        <v>11.0</v>
      </c>
      <c r="N335" s="3">
        <v>12.0</v>
      </c>
      <c r="O335" s="3">
        <v>13.0</v>
      </c>
      <c r="P335" s="3">
        <v>14.0</v>
      </c>
      <c r="Q335" s="3">
        <v>15.0</v>
      </c>
      <c r="R335" s="3">
        <v>16.0</v>
      </c>
      <c r="S335" s="3">
        <v>17.0</v>
      </c>
      <c r="T335" s="3">
        <v>18.0</v>
      </c>
      <c r="U335" s="3">
        <v>19.0</v>
      </c>
      <c r="V335" s="3">
        <v>20.0</v>
      </c>
      <c r="W335" s="3">
        <v>21.0</v>
      </c>
      <c r="X335" s="3">
        <v>22.0</v>
      </c>
      <c r="Y335" s="3">
        <v>23.0</v>
      </c>
      <c r="Z335" s="3">
        <v>24.0</v>
      </c>
      <c r="AA335" s="3">
        <v>25.0</v>
      </c>
      <c r="AB335" s="3">
        <v>26.0</v>
      </c>
      <c r="AC335" s="3">
        <v>27.0</v>
      </c>
      <c r="AD335" s="3">
        <v>28.0</v>
      </c>
      <c r="AE335" s="3">
        <v>29.0</v>
      </c>
      <c r="AF335" s="3">
        <v>30.0</v>
      </c>
      <c r="AG335" s="3">
        <v>31.0</v>
      </c>
      <c r="AH335" s="3">
        <v>32.0</v>
      </c>
      <c r="AI335" s="3">
        <v>33.0</v>
      </c>
      <c r="AJ335" s="3">
        <v>34.0</v>
      </c>
      <c r="AL335" s="10" t="s">
        <v>128</v>
      </c>
      <c r="AN335" s="37" t="s">
        <v>54</v>
      </c>
      <c r="AP335" s="10" t="s">
        <v>149</v>
      </c>
      <c r="AQ335" s="10"/>
      <c r="AR335" s="10"/>
      <c r="AS335" s="10"/>
      <c r="AU335" s="10" t="s">
        <v>153</v>
      </c>
      <c r="AV335" s="36"/>
      <c r="AX335" s="37" t="s">
        <v>54</v>
      </c>
    </row>
    <row r="336">
      <c r="B336" s="5" t="s">
        <v>2</v>
      </c>
      <c r="C336" s="6">
        <v>1.0</v>
      </c>
      <c r="D336" s="6">
        <v>1.0</v>
      </c>
      <c r="E336" s="6">
        <v>1.0</v>
      </c>
      <c r="F336" s="6">
        <v>1.0</v>
      </c>
      <c r="G336" s="6">
        <v>1.0</v>
      </c>
      <c r="H336" s="6">
        <v>1.0</v>
      </c>
      <c r="I336" s="6">
        <v>1.0</v>
      </c>
      <c r="J336" s="6">
        <v>1.0</v>
      </c>
      <c r="K336" s="6">
        <v>1.0</v>
      </c>
      <c r="L336" s="6">
        <v>1.0</v>
      </c>
      <c r="M336" s="6">
        <v>0.0</v>
      </c>
      <c r="N336" s="6">
        <v>1.0</v>
      </c>
      <c r="O336" s="6">
        <v>1.0</v>
      </c>
      <c r="P336" s="6">
        <v>1.0</v>
      </c>
      <c r="Q336" s="6">
        <v>1.0</v>
      </c>
      <c r="R336" s="6">
        <v>1.0</v>
      </c>
      <c r="S336" s="6">
        <v>1.0</v>
      </c>
      <c r="T336" s="6">
        <v>1.0</v>
      </c>
      <c r="U336" s="6">
        <v>0.0</v>
      </c>
      <c r="V336" s="6">
        <v>1.0</v>
      </c>
      <c r="W336" s="6">
        <v>1.0</v>
      </c>
      <c r="X336" s="6">
        <v>1.0</v>
      </c>
      <c r="Y336" s="6">
        <v>1.0</v>
      </c>
      <c r="Z336" s="6">
        <v>1.0</v>
      </c>
      <c r="AA336" s="6">
        <v>1.0</v>
      </c>
      <c r="AB336" s="6">
        <v>1.0</v>
      </c>
      <c r="AC336" s="6">
        <v>1.0</v>
      </c>
      <c r="AD336" s="6">
        <v>1.0</v>
      </c>
      <c r="AE336" s="6">
        <v>1.0</v>
      </c>
      <c r="AF336" s="6">
        <v>1.0</v>
      </c>
      <c r="AG336" s="6">
        <v>1.0</v>
      </c>
      <c r="AH336" s="6">
        <v>1.0</v>
      </c>
      <c r="AI336" s="6">
        <v>1.0</v>
      </c>
      <c r="AJ336" s="6">
        <v>1.0</v>
      </c>
      <c r="AL336" s="6">
        <f t="shared" ref="AL336:AL370" si="93">SUM(C336:AJ336)</f>
        <v>32</v>
      </c>
      <c r="AN336" s="38">
        <f t="shared" ref="AN336:AN370" si="94">STDEV(C336:AJ336)</f>
        <v>0.2388325736</v>
      </c>
      <c r="AP336">
        <f t="shared" ref="AP336:AP370" si="95">AL336-AN114</f>
        <v>0</v>
      </c>
      <c r="AU336">
        <f>sum(AP336:AP370)</f>
        <v>73</v>
      </c>
      <c r="AX336" s="38">
        <f t="shared" ref="AX336:AX370" si="96">AN336-AL114</f>
        <v>0</v>
      </c>
    </row>
    <row r="337">
      <c r="B337" s="5" t="s">
        <v>3</v>
      </c>
      <c r="C337" s="6">
        <v>0.0</v>
      </c>
      <c r="D337" s="6">
        <v>1.0</v>
      </c>
      <c r="E337" s="6">
        <v>1.0</v>
      </c>
      <c r="F337" s="6">
        <v>1.0</v>
      </c>
      <c r="G337" s="6">
        <v>0.0</v>
      </c>
      <c r="H337" s="6">
        <v>1.0</v>
      </c>
      <c r="I337" s="6">
        <v>1.0</v>
      </c>
      <c r="J337" s="6">
        <v>0.0</v>
      </c>
      <c r="K337" s="6">
        <v>0.0</v>
      </c>
      <c r="L337" s="6">
        <v>0.0</v>
      </c>
      <c r="M337" s="6">
        <v>0.0</v>
      </c>
      <c r="N337" s="6">
        <v>1.0</v>
      </c>
      <c r="O337" s="6">
        <v>0.0</v>
      </c>
      <c r="P337" s="6">
        <v>0.0</v>
      </c>
      <c r="Q337" s="6">
        <v>1.0</v>
      </c>
      <c r="R337" s="6">
        <v>1.0</v>
      </c>
      <c r="S337" s="6">
        <v>0.0</v>
      </c>
      <c r="T337" s="6">
        <v>1.0</v>
      </c>
      <c r="U337" s="6">
        <v>1.0</v>
      </c>
      <c r="V337" s="6">
        <v>1.0</v>
      </c>
      <c r="W337" s="6">
        <v>0.0</v>
      </c>
      <c r="X337" s="6">
        <v>1.0</v>
      </c>
      <c r="Y337" s="6">
        <v>0.0</v>
      </c>
      <c r="Z337" s="6">
        <v>1.0</v>
      </c>
      <c r="AA337" s="6">
        <v>1.0</v>
      </c>
      <c r="AB337" s="6">
        <v>1.0</v>
      </c>
      <c r="AC337" s="6">
        <v>1.0</v>
      </c>
      <c r="AD337" s="6">
        <v>1.0</v>
      </c>
      <c r="AE337" s="6">
        <v>0.0</v>
      </c>
      <c r="AF337" s="6">
        <v>0.0</v>
      </c>
      <c r="AG337" s="6">
        <v>0.0</v>
      </c>
      <c r="AH337" s="6">
        <v>1.0</v>
      </c>
      <c r="AI337" s="6">
        <v>0.0</v>
      </c>
      <c r="AJ337" s="6">
        <v>0.0</v>
      </c>
      <c r="AL337" s="6">
        <f t="shared" si="93"/>
        <v>18</v>
      </c>
      <c r="AN337" s="38">
        <f t="shared" si="94"/>
        <v>0.5066403971</v>
      </c>
      <c r="AP337">
        <f t="shared" si="95"/>
        <v>7</v>
      </c>
      <c r="AX337" s="38">
        <f t="shared" si="96"/>
        <v>0.03178231717</v>
      </c>
    </row>
    <row r="338">
      <c r="B338" s="5" t="s">
        <v>4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1.0</v>
      </c>
      <c r="K338" s="6">
        <v>0.0</v>
      </c>
      <c r="L338" s="6">
        <v>0.0</v>
      </c>
      <c r="M338" s="6">
        <v>0.0</v>
      </c>
      <c r="N338" s="6">
        <v>0.0</v>
      </c>
      <c r="O338" s="6">
        <v>0.0</v>
      </c>
      <c r="P338" s="6">
        <v>0.0</v>
      </c>
      <c r="Q338" s="6">
        <v>0.0</v>
      </c>
      <c r="R338" s="6">
        <v>0.0</v>
      </c>
      <c r="S338" s="6">
        <v>0.0</v>
      </c>
      <c r="T338" s="6">
        <v>0.0</v>
      </c>
      <c r="U338" s="6">
        <v>0.0</v>
      </c>
      <c r="V338" s="6">
        <v>0.0</v>
      </c>
      <c r="W338" s="6">
        <v>0.0</v>
      </c>
      <c r="X338" s="6">
        <v>1.0</v>
      </c>
      <c r="Y338" s="6">
        <v>0.0</v>
      </c>
      <c r="Z338" s="6">
        <v>0.0</v>
      </c>
      <c r="AA338" s="6">
        <v>0.0</v>
      </c>
      <c r="AB338" s="6">
        <v>1.0</v>
      </c>
      <c r="AC338" s="6">
        <v>0.0</v>
      </c>
      <c r="AD338" s="6">
        <v>1.0</v>
      </c>
      <c r="AE338" s="6">
        <v>1.0</v>
      </c>
      <c r="AF338" s="6">
        <v>0.0</v>
      </c>
      <c r="AG338" s="6">
        <v>0.0</v>
      </c>
      <c r="AH338" s="6">
        <v>1.0</v>
      </c>
      <c r="AI338" s="6">
        <v>0.0</v>
      </c>
      <c r="AJ338" s="6">
        <v>0.0</v>
      </c>
      <c r="AL338" s="6">
        <f t="shared" si="93"/>
        <v>6</v>
      </c>
      <c r="AN338" s="38">
        <f t="shared" si="94"/>
        <v>0.386952995</v>
      </c>
      <c r="AP338">
        <f t="shared" si="95"/>
        <v>0</v>
      </c>
      <c r="AX338" s="38">
        <f t="shared" si="96"/>
        <v>0</v>
      </c>
    </row>
    <row r="339">
      <c r="B339" s="5" t="s">
        <v>5</v>
      </c>
      <c r="C339" s="6">
        <v>1.0</v>
      </c>
      <c r="D339" s="6">
        <v>1.0</v>
      </c>
      <c r="E339" s="6">
        <v>1.0</v>
      </c>
      <c r="F339" s="6">
        <v>1.0</v>
      </c>
      <c r="G339" s="6">
        <v>1.0</v>
      </c>
      <c r="H339" s="6">
        <v>1.0</v>
      </c>
      <c r="I339" s="6">
        <v>1.0</v>
      </c>
      <c r="J339" s="6">
        <v>1.0</v>
      </c>
      <c r="K339" s="6">
        <v>1.0</v>
      </c>
      <c r="L339" s="6">
        <v>0.0</v>
      </c>
      <c r="M339" s="6">
        <v>1.0</v>
      </c>
      <c r="N339" s="6">
        <v>1.0</v>
      </c>
      <c r="O339" s="6">
        <v>0.0</v>
      </c>
      <c r="P339" s="6">
        <v>1.0</v>
      </c>
      <c r="Q339" s="6">
        <v>1.0</v>
      </c>
      <c r="R339" s="6">
        <v>1.0</v>
      </c>
      <c r="S339" s="6">
        <v>1.0</v>
      </c>
      <c r="T339" s="6">
        <v>1.0</v>
      </c>
      <c r="U339" s="6">
        <v>1.0</v>
      </c>
      <c r="V339" s="6">
        <v>1.0</v>
      </c>
      <c r="W339" s="6">
        <v>1.0</v>
      </c>
      <c r="X339" s="6">
        <v>1.0</v>
      </c>
      <c r="Y339" s="6">
        <v>1.0</v>
      </c>
      <c r="Z339" s="6">
        <v>1.0</v>
      </c>
      <c r="AA339" s="6">
        <v>1.0</v>
      </c>
      <c r="AB339" s="6">
        <v>0.0</v>
      </c>
      <c r="AC339" s="6">
        <v>1.0</v>
      </c>
      <c r="AD339" s="6">
        <v>1.0</v>
      </c>
      <c r="AE339" s="6">
        <v>0.0</v>
      </c>
      <c r="AF339" s="6">
        <v>1.0</v>
      </c>
      <c r="AG339" s="6">
        <v>1.0</v>
      </c>
      <c r="AH339" s="6">
        <v>1.0</v>
      </c>
      <c r="AI339" s="6">
        <v>0.0</v>
      </c>
      <c r="AJ339" s="6">
        <v>1.0</v>
      </c>
      <c r="AL339" s="6">
        <f t="shared" si="93"/>
        <v>29</v>
      </c>
      <c r="AN339" s="38">
        <f t="shared" si="94"/>
        <v>0.359490628</v>
      </c>
      <c r="AP339">
        <f t="shared" si="95"/>
        <v>5</v>
      </c>
      <c r="AX339" s="38">
        <f t="shared" si="96"/>
        <v>-0.1030066621</v>
      </c>
    </row>
    <row r="340">
      <c r="B340" s="5" t="s">
        <v>6</v>
      </c>
      <c r="C340" s="6">
        <v>1.0</v>
      </c>
      <c r="D340" s="6">
        <v>1.0</v>
      </c>
      <c r="E340" s="6">
        <v>1.0</v>
      </c>
      <c r="F340" s="6">
        <v>1.0</v>
      </c>
      <c r="G340" s="6">
        <v>1.0</v>
      </c>
      <c r="H340" s="6">
        <v>1.0</v>
      </c>
      <c r="I340" s="6">
        <v>1.0</v>
      </c>
      <c r="J340" s="6">
        <v>1.0</v>
      </c>
      <c r="K340" s="6">
        <v>1.0</v>
      </c>
      <c r="L340" s="6">
        <v>0.0</v>
      </c>
      <c r="M340" s="6">
        <v>1.0</v>
      </c>
      <c r="N340" s="6">
        <v>1.0</v>
      </c>
      <c r="O340" s="6">
        <v>1.0</v>
      </c>
      <c r="P340" s="6">
        <v>0.0</v>
      </c>
      <c r="Q340" s="6">
        <v>0.0</v>
      </c>
      <c r="R340" s="6">
        <v>1.0</v>
      </c>
      <c r="S340" s="6">
        <v>1.0</v>
      </c>
      <c r="T340" s="6">
        <v>1.0</v>
      </c>
      <c r="U340" s="6">
        <v>1.0</v>
      </c>
      <c r="V340" s="6">
        <v>1.0</v>
      </c>
      <c r="W340" s="6">
        <v>1.0</v>
      </c>
      <c r="X340" s="6">
        <v>1.0</v>
      </c>
      <c r="Y340" s="6">
        <v>0.0</v>
      </c>
      <c r="Z340" s="6">
        <v>1.0</v>
      </c>
      <c r="AA340" s="6">
        <v>1.0</v>
      </c>
      <c r="AB340" s="6">
        <v>1.0</v>
      </c>
      <c r="AC340" s="6">
        <v>1.0</v>
      </c>
      <c r="AD340" s="6">
        <v>0.0</v>
      </c>
      <c r="AE340" s="6">
        <v>0.0</v>
      </c>
      <c r="AF340" s="6">
        <v>0.0</v>
      </c>
      <c r="AG340" s="6">
        <v>0.0</v>
      </c>
      <c r="AH340" s="6">
        <v>1.0</v>
      </c>
      <c r="AI340" s="6">
        <v>1.0</v>
      </c>
      <c r="AJ340" s="6">
        <v>0.0</v>
      </c>
      <c r="AL340" s="6">
        <f t="shared" si="93"/>
        <v>25</v>
      </c>
      <c r="AN340" s="38">
        <f t="shared" si="94"/>
        <v>0.4478110755</v>
      </c>
      <c r="AP340">
        <f t="shared" si="95"/>
        <v>0</v>
      </c>
      <c r="AX340" s="38">
        <f t="shared" si="96"/>
        <v>0</v>
      </c>
    </row>
    <row r="341">
      <c r="B341" s="5" t="s">
        <v>7</v>
      </c>
      <c r="C341" s="6">
        <v>1.0</v>
      </c>
      <c r="D341" s="6">
        <v>1.0</v>
      </c>
      <c r="E341" s="6">
        <v>0.0</v>
      </c>
      <c r="F341" s="6">
        <v>1.0</v>
      </c>
      <c r="G341" s="6">
        <v>0.0</v>
      </c>
      <c r="H341" s="6">
        <v>1.0</v>
      </c>
      <c r="I341" s="6">
        <v>1.0</v>
      </c>
      <c r="J341" s="6">
        <v>1.0</v>
      </c>
      <c r="K341" s="6">
        <v>0.0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1.0</v>
      </c>
      <c r="R341" s="6">
        <v>1.0</v>
      </c>
      <c r="S341" s="6">
        <v>0.0</v>
      </c>
      <c r="T341" s="6">
        <v>0.0</v>
      </c>
      <c r="U341" s="6">
        <v>0.0</v>
      </c>
      <c r="V341" s="6">
        <v>1.0</v>
      </c>
      <c r="W341" s="6">
        <v>0.0</v>
      </c>
      <c r="X341" s="6">
        <v>0.0</v>
      </c>
      <c r="Y341" s="6">
        <v>1.0</v>
      </c>
      <c r="Z341" s="6">
        <v>1.0</v>
      </c>
      <c r="AA341" s="6">
        <v>1.0</v>
      </c>
      <c r="AB341" s="6">
        <v>1.0</v>
      </c>
      <c r="AC341" s="6">
        <v>1.0</v>
      </c>
      <c r="AD341" s="6">
        <v>0.0</v>
      </c>
      <c r="AE341" s="6">
        <v>1.0</v>
      </c>
      <c r="AF341" s="6">
        <v>1.0</v>
      </c>
      <c r="AG341" s="6">
        <v>0.0</v>
      </c>
      <c r="AH341" s="6">
        <v>1.0</v>
      </c>
      <c r="AI341" s="6">
        <v>0.0</v>
      </c>
      <c r="AJ341" s="6">
        <v>0.0</v>
      </c>
      <c r="AL341" s="6">
        <f t="shared" si="93"/>
        <v>17</v>
      </c>
      <c r="AN341" s="38">
        <f t="shared" si="94"/>
        <v>0.5075192189</v>
      </c>
      <c r="AP341">
        <f t="shared" si="95"/>
        <v>-1</v>
      </c>
      <c r="AX341" s="38">
        <f t="shared" si="96"/>
        <v>0.0008788218177</v>
      </c>
    </row>
    <row r="342">
      <c r="B342" s="5" t="s">
        <v>8</v>
      </c>
      <c r="C342" s="6">
        <v>0.0</v>
      </c>
      <c r="D342" s="6">
        <v>1.0</v>
      </c>
      <c r="E342" s="6">
        <v>0.0</v>
      </c>
      <c r="F342" s="6">
        <v>0.0</v>
      </c>
      <c r="G342" s="6">
        <v>0.0</v>
      </c>
      <c r="H342" s="6">
        <v>1.0</v>
      </c>
      <c r="I342" s="6">
        <v>0.0</v>
      </c>
      <c r="J342" s="6">
        <v>1.0</v>
      </c>
      <c r="K342" s="6">
        <v>0.0</v>
      </c>
      <c r="L342" s="6">
        <v>1.0</v>
      </c>
      <c r="M342" s="6">
        <v>0.0</v>
      </c>
      <c r="N342" s="6">
        <v>0.0</v>
      </c>
      <c r="O342" s="6">
        <v>0.0</v>
      </c>
      <c r="P342" s="6">
        <v>0.0</v>
      </c>
      <c r="Q342" s="6">
        <v>1.0</v>
      </c>
      <c r="R342" s="6">
        <v>0.0</v>
      </c>
      <c r="S342" s="6">
        <v>1.0</v>
      </c>
      <c r="T342" s="6">
        <v>0.0</v>
      </c>
      <c r="U342" s="6">
        <v>0.0</v>
      </c>
      <c r="V342" s="6">
        <v>0.0</v>
      </c>
      <c r="W342" s="6">
        <v>0.0</v>
      </c>
      <c r="X342" s="6">
        <v>1.0</v>
      </c>
      <c r="Y342" s="6">
        <v>1.0</v>
      </c>
      <c r="Z342" s="6">
        <v>1.0</v>
      </c>
      <c r="AA342" s="6">
        <v>0.0</v>
      </c>
      <c r="AB342" s="6">
        <v>1.0</v>
      </c>
      <c r="AC342" s="6">
        <v>0.0</v>
      </c>
      <c r="AD342" s="6">
        <v>0.0</v>
      </c>
      <c r="AE342" s="6">
        <v>1.0</v>
      </c>
      <c r="AF342" s="6">
        <v>0.0</v>
      </c>
      <c r="AG342" s="6">
        <v>0.0</v>
      </c>
      <c r="AH342" s="6">
        <v>1.0</v>
      </c>
      <c r="AI342" s="6">
        <v>0.0</v>
      </c>
      <c r="AJ342" s="6">
        <v>1.0</v>
      </c>
      <c r="AL342" s="6">
        <f t="shared" si="93"/>
        <v>13</v>
      </c>
      <c r="AN342" s="38">
        <f t="shared" si="94"/>
        <v>0.4932702181</v>
      </c>
      <c r="AP342">
        <f t="shared" si="95"/>
        <v>2</v>
      </c>
      <c r="AX342" s="38">
        <f t="shared" si="96"/>
        <v>0.01841213812</v>
      </c>
    </row>
    <row r="343">
      <c r="B343" s="5" t="s">
        <v>9</v>
      </c>
      <c r="C343" s="6">
        <v>1.0</v>
      </c>
      <c r="D343" s="6">
        <v>1.0</v>
      </c>
      <c r="E343" s="6">
        <v>1.0</v>
      </c>
      <c r="F343" s="6">
        <v>1.0</v>
      </c>
      <c r="G343" s="6">
        <v>1.0</v>
      </c>
      <c r="H343" s="6">
        <v>1.0</v>
      </c>
      <c r="I343" s="6">
        <v>1.0</v>
      </c>
      <c r="J343" s="6">
        <v>1.0</v>
      </c>
      <c r="K343" s="6">
        <v>1.0</v>
      </c>
      <c r="L343" s="6">
        <v>1.0</v>
      </c>
      <c r="M343" s="6">
        <v>1.0</v>
      </c>
      <c r="N343" s="6">
        <v>1.0</v>
      </c>
      <c r="O343" s="6">
        <v>0.0</v>
      </c>
      <c r="P343" s="6">
        <v>0.0</v>
      </c>
      <c r="Q343" s="6">
        <v>1.0</v>
      </c>
      <c r="R343" s="6">
        <v>1.0</v>
      </c>
      <c r="S343" s="6">
        <v>1.0</v>
      </c>
      <c r="T343" s="6">
        <v>1.0</v>
      </c>
      <c r="U343" s="6">
        <v>1.0</v>
      </c>
      <c r="V343" s="6">
        <v>1.0</v>
      </c>
      <c r="W343" s="6">
        <v>1.0</v>
      </c>
      <c r="X343" s="6">
        <v>0.0</v>
      </c>
      <c r="Y343" s="6">
        <v>1.0</v>
      </c>
      <c r="Z343" s="6">
        <v>1.0</v>
      </c>
      <c r="AA343" s="6">
        <v>1.0</v>
      </c>
      <c r="AB343" s="6">
        <v>1.0</v>
      </c>
      <c r="AC343" s="6">
        <v>1.0</v>
      </c>
      <c r="AD343" s="6">
        <v>1.0</v>
      </c>
      <c r="AE343" s="6">
        <v>1.0</v>
      </c>
      <c r="AF343" s="6">
        <v>1.0</v>
      </c>
      <c r="AG343" s="6">
        <v>1.0</v>
      </c>
      <c r="AH343" s="6">
        <v>1.0</v>
      </c>
      <c r="AI343" s="6">
        <v>1.0</v>
      </c>
      <c r="AJ343" s="6">
        <v>1.0</v>
      </c>
      <c r="AL343" s="6">
        <f t="shared" si="93"/>
        <v>31</v>
      </c>
      <c r="AN343" s="38">
        <f t="shared" si="94"/>
        <v>0.2879022413</v>
      </c>
      <c r="AP343">
        <f t="shared" si="95"/>
        <v>5</v>
      </c>
      <c r="AX343" s="38">
        <f t="shared" si="96"/>
        <v>-0.1426593039</v>
      </c>
    </row>
    <row r="344">
      <c r="B344" s="5" t="s">
        <v>10</v>
      </c>
      <c r="C344" s="6">
        <v>0.0</v>
      </c>
      <c r="D344" s="6">
        <v>1.0</v>
      </c>
      <c r="E344" s="6">
        <v>1.0</v>
      </c>
      <c r="F344" s="6">
        <v>0.0</v>
      </c>
      <c r="G344" s="6">
        <v>0.0</v>
      </c>
      <c r="H344" s="6">
        <v>1.0</v>
      </c>
      <c r="I344" s="6">
        <v>1.0</v>
      </c>
      <c r="J344" s="6">
        <v>0.0</v>
      </c>
      <c r="K344" s="6">
        <v>0.0</v>
      </c>
      <c r="L344" s="6">
        <v>0.0</v>
      </c>
      <c r="M344" s="6">
        <v>0.0</v>
      </c>
      <c r="N344" s="6">
        <v>1.0</v>
      </c>
      <c r="O344" s="6">
        <v>0.0</v>
      </c>
      <c r="P344" s="6">
        <v>0.0</v>
      </c>
      <c r="Q344" s="6">
        <v>0.0</v>
      </c>
      <c r="R344" s="6">
        <v>0.0</v>
      </c>
      <c r="S344" s="6">
        <v>0.0</v>
      </c>
      <c r="T344" s="6">
        <v>0.0</v>
      </c>
      <c r="U344" s="6">
        <v>0.0</v>
      </c>
      <c r="V344" s="6">
        <v>0.0</v>
      </c>
      <c r="W344" s="6">
        <v>0.0</v>
      </c>
      <c r="X344" s="6">
        <v>0.0</v>
      </c>
      <c r="Y344" s="6">
        <v>0.0</v>
      </c>
      <c r="Z344" s="6">
        <v>0.0</v>
      </c>
      <c r="AA344" s="6">
        <v>0.0</v>
      </c>
      <c r="AB344" s="6">
        <v>1.0</v>
      </c>
      <c r="AC344" s="6">
        <v>0.0</v>
      </c>
      <c r="AD344" s="6">
        <v>0.0</v>
      </c>
      <c r="AE344" s="6">
        <v>0.0</v>
      </c>
      <c r="AF344" s="6">
        <v>0.0</v>
      </c>
      <c r="AG344" s="6">
        <v>0.0</v>
      </c>
      <c r="AH344" s="6">
        <v>0.0</v>
      </c>
      <c r="AI344" s="6">
        <v>0.0</v>
      </c>
      <c r="AJ344" s="6">
        <v>0.0</v>
      </c>
      <c r="AL344" s="6">
        <f t="shared" si="93"/>
        <v>6</v>
      </c>
      <c r="AN344" s="38">
        <f t="shared" si="94"/>
        <v>0.386952995</v>
      </c>
      <c r="AP344">
        <f t="shared" si="95"/>
        <v>-1</v>
      </c>
      <c r="AX344" s="38">
        <f t="shared" si="96"/>
        <v>-0.02347263515</v>
      </c>
    </row>
    <row r="345">
      <c r="B345" s="5" t="s">
        <v>11</v>
      </c>
      <c r="C345" s="6">
        <v>0.0</v>
      </c>
      <c r="D345" s="6">
        <v>1.0</v>
      </c>
      <c r="E345" s="6">
        <v>1.0</v>
      </c>
      <c r="F345" s="6">
        <v>0.0</v>
      </c>
      <c r="G345" s="6">
        <v>0.0</v>
      </c>
      <c r="H345" s="6">
        <v>0.0</v>
      </c>
      <c r="I345" s="6">
        <v>1.0</v>
      </c>
      <c r="J345" s="6">
        <v>1.0</v>
      </c>
      <c r="K345" s="6">
        <v>0.0</v>
      </c>
      <c r="L345" s="6">
        <v>1.0</v>
      </c>
      <c r="M345" s="6">
        <v>0.0</v>
      </c>
      <c r="N345" s="6">
        <v>1.0</v>
      </c>
      <c r="O345" s="6">
        <v>0.0</v>
      </c>
      <c r="P345" s="6">
        <v>0.0</v>
      </c>
      <c r="Q345" s="6">
        <v>0.0</v>
      </c>
      <c r="R345" s="6">
        <v>1.0</v>
      </c>
      <c r="S345" s="6">
        <v>0.0</v>
      </c>
      <c r="T345" s="6">
        <v>1.0</v>
      </c>
      <c r="U345" s="6">
        <v>0.0</v>
      </c>
      <c r="V345" s="6">
        <v>1.0</v>
      </c>
      <c r="W345" s="6">
        <v>0.0</v>
      </c>
      <c r="X345" s="6">
        <v>0.0</v>
      </c>
      <c r="Y345" s="6">
        <v>0.0</v>
      </c>
      <c r="Z345" s="6">
        <v>0.0</v>
      </c>
      <c r="AA345" s="6">
        <v>0.0</v>
      </c>
      <c r="AB345" s="6">
        <v>1.0</v>
      </c>
      <c r="AC345" s="6">
        <v>1.0</v>
      </c>
      <c r="AD345" s="6">
        <v>1.0</v>
      </c>
      <c r="AE345" s="6">
        <v>0.0</v>
      </c>
      <c r="AF345" s="6">
        <v>0.0</v>
      </c>
      <c r="AG345" s="6">
        <v>0.0</v>
      </c>
      <c r="AH345" s="6">
        <v>1.0</v>
      </c>
      <c r="AI345" s="6">
        <v>0.0</v>
      </c>
      <c r="AJ345" s="6">
        <v>0.0</v>
      </c>
      <c r="AL345" s="6">
        <f t="shared" si="93"/>
        <v>13</v>
      </c>
      <c r="AN345" s="38">
        <f t="shared" si="94"/>
        <v>0.4932702181</v>
      </c>
      <c r="AP345">
        <f t="shared" si="95"/>
        <v>0</v>
      </c>
      <c r="AX345" s="38">
        <f t="shared" si="96"/>
        <v>0</v>
      </c>
    </row>
    <row r="346">
      <c r="B346" s="5" t="s">
        <v>12</v>
      </c>
      <c r="C346" s="6">
        <v>0.0</v>
      </c>
      <c r="D346" s="6">
        <v>1.0</v>
      </c>
      <c r="E346" s="6">
        <v>0.0</v>
      </c>
      <c r="F346" s="6">
        <v>0.0</v>
      </c>
      <c r="G346" s="6">
        <v>0.0</v>
      </c>
      <c r="H346" s="6">
        <v>1.0</v>
      </c>
      <c r="I346" s="6">
        <v>0.0</v>
      </c>
      <c r="J346" s="6">
        <v>1.0</v>
      </c>
      <c r="K346" s="6">
        <v>0.0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0.0</v>
      </c>
      <c r="R346" s="6">
        <v>0.0</v>
      </c>
      <c r="S346" s="6">
        <v>1.0</v>
      </c>
      <c r="T346" s="6">
        <v>0.0</v>
      </c>
      <c r="U346" s="6">
        <v>0.0</v>
      </c>
      <c r="V346" s="6">
        <v>1.0</v>
      </c>
      <c r="W346" s="6">
        <v>0.0</v>
      </c>
      <c r="X346" s="6">
        <v>0.0</v>
      </c>
      <c r="Y346" s="6">
        <v>0.0</v>
      </c>
      <c r="Z346" s="6">
        <v>0.0</v>
      </c>
      <c r="AA346" s="6">
        <v>0.0</v>
      </c>
      <c r="AB346" s="6">
        <v>0.0</v>
      </c>
      <c r="AC346" s="6">
        <v>0.0</v>
      </c>
      <c r="AD346" s="6">
        <v>0.0</v>
      </c>
      <c r="AE346" s="6">
        <v>0.0</v>
      </c>
      <c r="AF346" s="6">
        <v>1.0</v>
      </c>
      <c r="AG346" s="6">
        <v>0.0</v>
      </c>
      <c r="AH346" s="6">
        <v>0.0</v>
      </c>
      <c r="AI346" s="6">
        <v>0.0</v>
      </c>
      <c r="AJ346" s="6">
        <v>1.0</v>
      </c>
      <c r="AL346" s="6">
        <f t="shared" si="93"/>
        <v>7</v>
      </c>
      <c r="AN346" s="38">
        <f t="shared" si="94"/>
        <v>0.4104256301</v>
      </c>
      <c r="AP346">
        <f t="shared" si="95"/>
        <v>-2</v>
      </c>
      <c r="AX346" s="38">
        <f t="shared" si="96"/>
        <v>-0.0373854454</v>
      </c>
    </row>
    <row r="347">
      <c r="B347" s="5" t="s">
        <v>13</v>
      </c>
      <c r="C347" s="6">
        <v>1.0</v>
      </c>
      <c r="D347" s="6">
        <v>0.0</v>
      </c>
      <c r="E347" s="6">
        <v>0.0</v>
      </c>
      <c r="F347" s="6">
        <v>0.0</v>
      </c>
      <c r="G347" s="6">
        <v>0.0</v>
      </c>
      <c r="H347" s="6">
        <v>1.0</v>
      </c>
      <c r="I347" s="6">
        <v>1.0</v>
      </c>
      <c r="J347" s="6">
        <v>1.0</v>
      </c>
      <c r="K347" s="6">
        <v>0.0</v>
      </c>
      <c r="L347" s="6">
        <v>0.0</v>
      </c>
      <c r="M347" s="6">
        <v>0.0</v>
      </c>
      <c r="N347" s="6">
        <v>1.0</v>
      </c>
      <c r="O347" s="6">
        <v>0.0</v>
      </c>
      <c r="P347" s="6">
        <v>0.0</v>
      </c>
      <c r="Q347" s="6">
        <v>1.0</v>
      </c>
      <c r="R347" s="6">
        <v>1.0</v>
      </c>
      <c r="S347" s="6">
        <v>0.0</v>
      </c>
      <c r="T347" s="6">
        <v>0.0</v>
      </c>
      <c r="U347" s="6">
        <v>1.0</v>
      </c>
      <c r="V347" s="6">
        <v>0.0</v>
      </c>
      <c r="W347" s="6">
        <v>0.0</v>
      </c>
      <c r="X347" s="6">
        <v>0.0</v>
      </c>
      <c r="Y347" s="6">
        <v>1.0</v>
      </c>
      <c r="Z347" s="6">
        <v>1.0</v>
      </c>
      <c r="AA347" s="6">
        <v>1.0</v>
      </c>
      <c r="AB347" s="6">
        <v>1.0</v>
      </c>
      <c r="AC347" s="6">
        <v>1.0</v>
      </c>
      <c r="AD347" s="6">
        <v>0.0</v>
      </c>
      <c r="AE347" s="6">
        <v>0.0</v>
      </c>
      <c r="AF347" s="6">
        <v>0.0</v>
      </c>
      <c r="AG347" s="6">
        <v>0.0</v>
      </c>
      <c r="AH347" s="6">
        <v>1.0</v>
      </c>
      <c r="AI347" s="6">
        <v>0.0</v>
      </c>
      <c r="AJ347" s="6">
        <v>1.0</v>
      </c>
      <c r="AL347" s="6">
        <f t="shared" si="93"/>
        <v>15</v>
      </c>
      <c r="AN347" s="38">
        <f t="shared" si="94"/>
        <v>0.5039947373</v>
      </c>
      <c r="AP347">
        <f t="shared" si="95"/>
        <v>6</v>
      </c>
      <c r="AX347" s="38">
        <f t="shared" si="96"/>
        <v>0.05618366174</v>
      </c>
    </row>
    <row r="348">
      <c r="B348" s="5" t="s">
        <v>14</v>
      </c>
      <c r="C348" s="6">
        <v>1.0</v>
      </c>
      <c r="D348" s="6">
        <v>1.0</v>
      </c>
      <c r="E348" s="6">
        <v>0.0</v>
      </c>
      <c r="F348" s="6">
        <v>1.0</v>
      </c>
      <c r="G348" s="6">
        <v>1.0</v>
      </c>
      <c r="H348" s="6">
        <v>1.0</v>
      </c>
      <c r="I348" s="6">
        <v>0.0</v>
      </c>
      <c r="J348" s="6">
        <v>1.0</v>
      </c>
      <c r="K348" s="6">
        <v>1.0</v>
      </c>
      <c r="L348" s="6">
        <v>0.0</v>
      </c>
      <c r="M348" s="6">
        <v>0.0</v>
      </c>
      <c r="N348" s="6">
        <v>1.0</v>
      </c>
      <c r="O348" s="6">
        <v>0.0</v>
      </c>
      <c r="P348" s="6">
        <v>0.0</v>
      </c>
      <c r="Q348" s="6">
        <v>1.0</v>
      </c>
      <c r="R348" s="6">
        <v>1.0</v>
      </c>
      <c r="S348" s="6">
        <v>1.0</v>
      </c>
      <c r="T348" s="6">
        <v>1.0</v>
      </c>
      <c r="U348" s="6">
        <v>0.0</v>
      </c>
      <c r="V348" s="6">
        <v>1.0</v>
      </c>
      <c r="W348" s="6">
        <v>1.0</v>
      </c>
      <c r="X348" s="6">
        <v>0.0</v>
      </c>
      <c r="Y348" s="6">
        <v>1.0</v>
      </c>
      <c r="Z348" s="6">
        <v>1.0</v>
      </c>
      <c r="AA348" s="6">
        <v>0.0</v>
      </c>
      <c r="AB348" s="6">
        <v>1.0</v>
      </c>
      <c r="AC348" s="6">
        <v>1.0</v>
      </c>
      <c r="AD348" s="6">
        <v>1.0</v>
      </c>
      <c r="AE348" s="6">
        <v>0.0</v>
      </c>
      <c r="AF348" s="6">
        <v>1.0</v>
      </c>
      <c r="AG348" s="6">
        <v>1.0</v>
      </c>
      <c r="AH348" s="6">
        <v>0.0</v>
      </c>
      <c r="AI348" s="6">
        <v>0.0</v>
      </c>
      <c r="AJ348" s="6">
        <v>1.0</v>
      </c>
      <c r="AL348" s="6">
        <f t="shared" si="93"/>
        <v>22</v>
      </c>
      <c r="AN348" s="38">
        <f t="shared" si="94"/>
        <v>0.4850712501</v>
      </c>
      <c r="AP348">
        <f t="shared" si="95"/>
        <v>1</v>
      </c>
      <c r="AX348" s="38">
        <f t="shared" si="96"/>
        <v>-0.008198967984</v>
      </c>
    </row>
    <row r="349">
      <c r="B349" s="5" t="s">
        <v>15</v>
      </c>
      <c r="C349" s="6">
        <v>1.0</v>
      </c>
      <c r="D349" s="6">
        <v>1.0</v>
      </c>
      <c r="E349" s="6">
        <v>0.0</v>
      </c>
      <c r="F349" s="6">
        <v>0.0</v>
      </c>
      <c r="G349" s="6">
        <v>1.0</v>
      </c>
      <c r="H349" s="6">
        <v>1.0</v>
      </c>
      <c r="I349" s="6">
        <v>1.0</v>
      </c>
      <c r="J349" s="6">
        <v>0.0</v>
      </c>
      <c r="K349" s="6">
        <v>0.0</v>
      </c>
      <c r="L349" s="6">
        <v>1.0</v>
      </c>
      <c r="M349" s="6">
        <v>0.0</v>
      </c>
      <c r="N349" s="6">
        <v>1.0</v>
      </c>
      <c r="O349" s="6">
        <v>0.0</v>
      </c>
      <c r="P349" s="6">
        <v>1.0</v>
      </c>
      <c r="Q349" s="6">
        <v>1.0</v>
      </c>
      <c r="R349" s="6">
        <v>1.0</v>
      </c>
      <c r="S349" s="6">
        <v>1.0</v>
      </c>
      <c r="T349" s="6">
        <v>1.0</v>
      </c>
      <c r="U349" s="6">
        <v>1.0</v>
      </c>
      <c r="V349" s="6">
        <v>0.0</v>
      </c>
      <c r="W349" s="6">
        <v>1.0</v>
      </c>
      <c r="X349" s="6">
        <v>1.0</v>
      </c>
      <c r="Y349" s="6">
        <v>1.0</v>
      </c>
      <c r="Z349" s="6">
        <v>1.0</v>
      </c>
      <c r="AA349" s="6">
        <v>1.0</v>
      </c>
      <c r="AB349" s="6">
        <v>1.0</v>
      </c>
      <c r="AC349" s="6">
        <v>1.0</v>
      </c>
      <c r="AD349" s="6">
        <v>1.0</v>
      </c>
      <c r="AE349" s="6">
        <v>1.0</v>
      </c>
      <c r="AF349" s="6">
        <v>1.0</v>
      </c>
      <c r="AG349" s="6">
        <v>0.0</v>
      </c>
      <c r="AH349" s="6">
        <v>1.0</v>
      </c>
      <c r="AI349" s="6">
        <v>1.0</v>
      </c>
      <c r="AJ349" s="6">
        <v>1.0</v>
      </c>
      <c r="AL349" s="6">
        <f t="shared" si="93"/>
        <v>26</v>
      </c>
      <c r="AN349" s="38">
        <f t="shared" si="94"/>
        <v>0.4305615452</v>
      </c>
      <c r="AP349">
        <f t="shared" si="95"/>
        <v>6</v>
      </c>
      <c r="AX349" s="38">
        <f t="shared" si="96"/>
        <v>-0.06899262323</v>
      </c>
    </row>
    <row r="350">
      <c r="B350" s="8" t="s">
        <v>16</v>
      </c>
      <c r="C350" s="6">
        <v>1.0</v>
      </c>
      <c r="D350" s="6">
        <v>1.0</v>
      </c>
      <c r="E350" s="6">
        <v>1.0</v>
      </c>
      <c r="F350" s="6">
        <v>0.0</v>
      </c>
      <c r="G350" s="6">
        <v>0.0</v>
      </c>
      <c r="H350" s="6">
        <v>1.0</v>
      </c>
      <c r="I350" s="6">
        <v>1.0</v>
      </c>
      <c r="J350" s="6">
        <v>1.0</v>
      </c>
      <c r="K350" s="6">
        <v>1.0</v>
      </c>
      <c r="L350" s="6">
        <v>0.0</v>
      </c>
      <c r="M350" s="6">
        <v>1.0</v>
      </c>
      <c r="N350" s="6">
        <v>1.0</v>
      </c>
      <c r="O350" s="6">
        <v>1.0</v>
      </c>
      <c r="P350" s="6">
        <v>0.0</v>
      </c>
      <c r="Q350" s="6">
        <v>1.0</v>
      </c>
      <c r="R350" s="6">
        <v>1.0</v>
      </c>
      <c r="S350" s="6">
        <v>0.0</v>
      </c>
      <c r="T350" s="6">
        <v>1.0</v>
      </c>
      <c r="U350" s="6">
        <v>1.0</v>
      </c>
      <c r="V350" s="6">
        <v>1.0</v>
      </c>
      <c r="W350" s="6">
        <v>0.0</v>
      </c>
      <c r="X350" s="6">
        <v>1.0</v>
      </c>
      <c r="Y350" s="6">
        <v>1.0</v>
      </c>
      <c r="Z350" s="6">
        <v>1.0</v>
      </c>
      <c r="AA350" s="6">
        <v>1.0</v>
      </c>
      <c r="AB350" s="6">
        <v>1.0</v>
      </c>
      <c r="AC350" s="6">
        <v>1.0</v>
      </c>
      <c r="AD350" s="6">
        <v>0.0</v>
      </c>
      <c r="AE350" s="6">
        <v>0.0</v>
      </c>
      <c r="AF350" s="6">
        <v>1.0</v>
      </c>
      <c r="AG350" s="6">
        <v>0.0</v>
      </c>
      <c r="AH350" s="6">
        <v>1.0</v>
      </c>
      <c r="AI350" s="6">
        <v>0.0</v>
      </c>
      <c r="AJ350" s="6">
        <v>1.0</v>
      </c>
      <c r="AL350" s="6">
        <f t="shared" si="93"/>
        <v>24</v>
      </c>
      <c r="AN350" s="38">
        <f t="shared" si="94"/>
        <v>0.4624972901</v>
      </c>
      <c r="AP350">
        <f t="shared" si="95"/>
        <v>2</v>
      </c>
      <c r="AX350" s="38">
        <f t="shared" si="96"/>
        <v>-0.02257396001</v>
      </c>
    </row>
    <row r="351">
      <c r="B351" s="8" t="s">
        <v>17</v>
      </c>
      <c r="C351" s="6">
        <v>1.0</v>
      </c>
      <c r="D351" s="6">
        <v>1.0</v>
      </c>
      <c r="E351" s="6">
        <v>1.0</v>
      </c>
      <c r="F351" s="6">
        <v>1.0</v>
      </c>
      <c r="G351" s="6">
        <v>0.0</v>
      </c>
      <c r="H351" s="6">
        <v>1.0</v>
      </c>
      <c r="I351" s="6">
        <v>1.0</v>
      </c>
      <c r="J351" s="6">
        <v>0.0</v>
      </c>
      <c r="K351" s="6">
        <v>1.0</v>
      </c>
      <c r="L351" s="6">
        <v>0.0</v>
      </c>
      <c r="M351" s="6">
        <v>0.0</v>
      </c>
      <c r="N351" s="6">
        <v>1.0</v>
      </c>
      <c r="O351" s="6">
        <v>0.0</v>
      </c>
      <c r="P351" s="6">
        <v>0.0</v>
      </c>
      <c r="Q351" s="6">
        <v>1.0</v>
      </c>
      <c r="R351" s="6">
        <v>0.0</v>
      </c>
      <c r="S351" s="6">
        <v>0.0</v>
      </c>
      <c r="T351" s="6">
        <v>1.0</v>
      </c>
      <c r="U351" s="6">
        <v>0.0</v>
      </c>
      <c r="V351" s="6">
        <v>1.0</v>
      </c>
      <c r="W351" s="6">
        <v>0.0</v>
      </c>
      <c r="X351" s="6">
        <v>0.0</v>
      </c>
      <c r="Y351" s="6">
        <v>1.0</v>
      </c>
      <c r="Z351" s="6">
        <v>0.0</v>
      </c>
      <c r="AA351" s="6">
        <v>1.0</v>
      </c>
      <c r="AB351" s="6">
        <v>1.0</v>
      </c>
      <c r="AC351" s="6">
        <v>1.0</v>
      </c>
      <c r="AD351" s="6">
        <v>1.0</v>
      </c>
      <c r="AE351" s="6">
        <v>1.0</v>
      </c>
      <c r="AF351" s="6">
        <v>0.0</v>
      </c>
      <c r="AG351" s="6">
        <v>0.0</v>
      </c>
      <c r="AH351" s="6">
        <v>1.0</v>
      </c>
      <c r="AI351" s="6">
        <v>0.0</v>
      </c>
      <c r="AJ351" s="6">
        <v>1.0</v>
      </c>
      <c r="AL351" s="6">
        <f t="shared" si="93"/>
        <v>19</v>
      </c>
      <c r="AN351" s="38">
        <f t="shared" si="94"/>
        <v>0.5039947373</v>
      </c>
      <c r="AP351">
        <f t="shared" si="95"/>
        <v>1</v>
      </c>
      <c r="AX351" s="38">
        <f t="shared" si="96"/>
        <v>-0.002645659844</v>
      </c>
    </row>
    <row r="352">
      <c r="B352" s="8" t="s">
        <v>18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1.0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1.0</v>
      </c>
      <c r="R352" s="6">
        <v>0.0</v>
      </c>
      <c r="S352" s="6">
        <v>0.0</v>
      </c>
      <c r="T352" s="6">
        <v>0.0</v>
      </c>
      <c r="U352" s="6">
        <v>0.0</v>
      </c>
      <c r="V352" s="6">
        <v>0.0</v>
      </c>
      <c r="W352" s="6">
        <v>0.0</v>
      </c>
      <c r="X352" s="6">
        <v>0.0</v>
      </c>
      <c r="Y352" s="6">
        <v>0.0</v>
      </c>
      <c r="Z352" s="6">
        <v>0.0</v>
      </c>
      <c r="AA352" s="6">
        <v>0.0</v>
      </c>
      <c r="AB352" s="6">
        <v>0.0</v>
      </c>
      <c r="AC352" s="6">
        <v>0.0</v>
      </c>
      <c r="AD352" s="6">
        <v>0.0</v>
      </c>
      <c r="AE352" s="6">
        <v>0.0</v>
      </c>
      <c r="AF352" s="6">
        <v>0.0</v>
      </c>
      <c r="AG352" s="6">
        <v>0.0</v>
      </c>
      <c r="AH352" s="6">
        <v>0.0</v>
      </c>
      <c r="AI352" s="6">
        <v>0.0</v>
      </c>
      <c r="AJ352" s="6">
        <v>0.0</v>
      </c>
      <c r="AL352" s="6">
        <f t="shared" si="93"/>
        <v>2</v>
      </c>
      <c r="AN352" s="38">
        <f t="shared" si="94"/>
        <v>0.2388325736</v>
      </c>
      <c r="AP352">
        <f t="shared" si="95"/>
        <v>-2</v>
      </c>
      <c r="AX352" s="38">
        <f t="shared" si="96"/>
        <v>-0.08820239647</v>
      </c>
    </row>
    <row r="353">
      <c r="B353" s="8" t="s">
        <v>19</v>
      </c>
      <c r="C353" s="6">
        <v>1.0</v>
      </c>
      <c r="D353" s="6">
        <v>0.0</v>
      </c>
      <c r="E353" s="6">
        <v>1.0</v>
      </c>
      <c r="F353" s="6">
        <v>0.0</v>
      </c>
      <c r="G353" s="6">
        <v>1.0</v>
      </c>
      <c r="H353" s="6">
        <v>0.0</v>
      </c>
      <c r="I353" s="6">
        <v>1.0</v>
      </c>
      <c r="J353" s="6">
        <v>0.0</v>
      </c>
      <c r="K353" s="6">
        <v>0.0</v>
      </c>
      <c r="L353" s="6">
        <v>1.0</v>
      </c>
      <c r="M353" s="6">
        <v>0.0</v>
      </c>
      <c r="N353" s="6">
        <v>1.0</v>
      </c>
      <c r="O353" s="6">
        <v>0.0</v>
      </c>
      <c r="P353" s="6">
        <v>1.0</v>
      </c>
      <c r="Q353" s="6">
        <v>0.0</v>
      </c>
      <c r="R353" s="6">
        <v>0.0</v>
      </c>
      <c r="S353" s="6">
        <v>1.0</v>
      </c>
      <c r="T353" s="6">
        <v>1.0</v>
      </c>
      <c r="U353" s="6">
        <v>1.0</v>
      </c>
      <c r="V353" s="6">
        <v>1.0</v>
      </c>
      <c r="W353" s="6">
        <v>0.0</v>
      </c>
      <c r="X353" s="6">
        <v>1.0</v>
      </c>
      <c r="Y353" s="6">
        <v>0.0</v>
      </c>
      <c r="Z353" s="6">
        <v>0.0</v>
      </c>
      <c r="AA353" s="6">
        <v>0.0</v>
      </c>
      <c r="AB353" s="6">
        <v>1.0</v>
      </c>
      <c r="AC353" s="6">
        <v>1.0</v>
      </c>
      <c r="AD353" s="6">
        <v>0.0</v>
      </c>
      <c r="AE353" s="6">
        <v>1.0</v>
      </c>
      <c r="AF353" s="6">
        <v>0.0</v>
      </c>
      <c r="AG353" s="6">
        <v>1.0</v>
      </c>
      <c r="AH353" s="6">
        <v>0.0</v>
      </c>
      <c r="AI353" s="6">
        <v>0.0</v>
      </c>
      <c r="AJ353" s="6">
        <v>1.0</v>
      </c>
      <c r="AL353" s="6">
        <f t="shared" si="93"/>
        <v>17</v>
      </c>
      <c r="AN353" s="38">
        <f t="shared" si="94"/>
        <v>0.5075192189</v>
      </c>
      <c r="AP353">
        <f t="shared" si="95"/>
        <v>3</v>
      </c>
      <c r="AX353" s="38">
        <f t="shared" si="96"/>
        <v>0.007965050487</v>
      </c>
    </row>
    <row r="354">
      <c r="B354" s="8" t="s">
        <v>20</v>
      </c>
      <c r="C354" s="6">
        <v>1.0</v>
      </c>
      <c r="D354" s="6">
        <v>1.0</v>
      </c>
      <c r="E354" s="6">
        <v>1.0</v>
      </c>
      <c r="F354" s="6">
        <v>0.0</v>
      </c>
      <c r="G354" s="6">
        <v>1.0</v>
      </c>
      <c r="H354" s="6">
        <v>0.0</v>
      </c>
      <c r="I354" s="6">
        <v>1.0</v>
      </c>
      <c r="J354" s="6">
        <v>0.0</v>
      </c>
      <c r="K354" s="6">
        <v>0.0</v>
      </c>
      <c r="L354" s="6">
        <v>0.0</v>
      </c>
      <c r="M354" s="6">
        <v>1.0</v>
      </c>
      <c r="N354" s="6">
        <v>0.0</v>
      </c>
      <c r="O354" s="6">
        <v>0.0</v>
      </c>
      <c r="P354" s="6">
        <v>0.0</v>
      </c>
      <c r="Q354" s="6">
        <v>1.0</v>
      </c>
      <c r="R354" s="6">
        <v>1.0</v>
      </c>
      <c r="S354" s="6">
        <v>1.0</v>
      </c>
      <c r="T354" s="6">
        <v>1.0</v>
      </c>
      <c r="U354" s="6">
        <v>1.0</v>
      </c>
      <c r="V354" s="6">
        <v>1.0</v>
      </c>
      <c r="W354" s="6">
        <v>1.0</v>
      </c>
      <c r="X354" s="6">
        <v>1.0</v>
      </c>
      <c r="Y354" s="6">
        <v>1.0</v>
      </c>
      <c r="Z354" s="6">
        <v>0.0</v>
      </c>
      <c r="AA354" s="6">
        <v>1.0</v>
      </c>
      <c r="AB354" s="6">
        <v>1.0</v>
      </c>
      <c r="AC354" s="6">
        <v>0.0</v>
      </c>
      <c r="AD354" s="6">
        <v>1.0</v>
      </c>
      <c r="AE354" s="6">
        <v>1.0</v>
      </c>
      <c r="AF354" s="6">
        <v>0.0</v>
      </c>
      <c r="AG354" s="6">
        <v>0.0</v>
      </c>
      <c r="AH354" s="6">
        <v>1.0</v>
      </c>
      <c r="AI354" s="6">
        <v>0.0</v>
      </c>
      <c r="AJ354" s="6">
        <v>1.0</v>
      </c>
      <c r="AL354" s="6">
        <f t="shared" si="93"/>
        <v>21</v>
      </c>
      <c r="AN354" s="38">
        <f t="shared" si="94"/>
        <v>0.4932702181</v>
      </c>
      <c r="AP354">
        <f t="shared" si="95"/>
        <v>3</v>
      </c>
      <c r="AX354" s="38">
        <f t="shared" si="96"/>
        <v>-0.01337017905</v>
      </c>
    </row>
    <row r="355">
      <c r="B355" s="8" t="s">
        <v>21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>
        <v>0.0</v>
      </c>
      <c r="P355" s="6">
        <v>0.0</v>
      </c>
      <c r="Q355" s="6">
        <v>0.0</v>
      </c>
      <c r="R355" s="6">
        <v>0.0</v>
      </c>
      <c r="S355" s="6">
        <v>0.0</v>
      </c>
      <c r="T355" s="6">
        <v>0.0</v>
      </c>
      <c r="U355" s="6">
        <v>0.0</v>
      </c>
      <c r="V355" s="6">
        <v>1.0</v>
      </c>
      <c r="W355" s="6">
        <v>0.0</v>
      </c>
      <c r="X355" s="6">
        <v>0.0</v>
      </c>
      <c r="Y355" s="6">
        <v>0.0</v>
      </c>
      <c r="Z355" s="6">
        <v>0.0</v>
      </c>
      <c r="AA355" s="6">
        <v>0.0</v>
      </c>
      <c r="AB355" s="6">
        <v>1.0</v>
      </c>
      <c r="AC355" s="6">
        <v>0.0</v>
      </c>
      <c r="AD355" s="6">
        <v>1.0</v>
      </c>
      <c r="AE355" s="6">
        <v>1.0</v>
      </c>
      <c r="AF355" s="6">
        <v>1.0</v>
      </c>
      <c r="AG355" s="6">
        <v>1.0</v>
      </c>
      <c r="AH355" s="6">
        <v>1.0</v>
      </c>
      <c r="AI355" s="6">
        <v>0.0</v>
      </c>
      <c r="AJ355" s="6">
        <v>0.0</v>
      </c>
      <c r="AL355" s="6">
        <f t="shared" si="93"/>
        <v>7</v>
      </c>
      <c r="AN355" s="38">
        <f t="shared" si="94"/>
        <v>0.4104256301</v>
      </c>
      <c r="AP355">
        <f t="shared" si="95"/>
        <v>-1</v>
      </c>
      <c r="AX355" s="38">
        <f t="shared" si="96"/>
        <v>-0.02013591508</v>
      </c>
    </row>
    <row r="356">
      <c r="B356" s="8" t="s">
        <v>22</v>
      </c>
      <c r="C356" s="6">
        <v>1.0</v>
      </c>
      <c r="D356" s="6">
        <v>1.0</v>
      </c>
      <c r="E356" s="6">
        <v>0.0</v>
      </c>
      <c r="F356" s="6">
        <v>1.0</v>
      </c>
      <c r="G356" s="6">
        <v>0.0</v>
      </c>
      <c r="H356" s="6">
        <v>1.0</v>
      </c>
      <c r="I356" s="6">
        <v>0.0</v>
      </c>
      <c r="J356" s="6">
        <v>1.0</v>
      </c>
      <c r="K356" s="6">
        <v>0.0</v>
      </c>
      <c r="L356" s="6">
        <v>0.0</v>
      </c>
      <c r="M356" s="6">
        <v>0.0</v>
      </c>
      <c r="N356" s="6">
        <v>1.0</v>
      </c>
      <c r="O356" s="6">
        <v>0.0</v>
      </c>
      <c r="P356" s="6">
        <v>0.0</v>
      </c>
      <c r="Q356" s="6">
        <v>1.0</v>
      </c>
      <c r="R356" s="6">
        <v>1.0</v>
      </c>
      <c r="S356" s="6">
        <v>0.0</v>
      </c>
      <c r="T356" s="6">
        <v>0.0</v>
      </c>
      <c r="U356" s="6">
        <v>1.0</v>
      </c>
      <c r="V356" s="6">
        <v>1.0</v>
      </c>
      <c r="W356" s="6">
        <v>1.0</v>
      </c>
      <c r="X356" s="6">
        <v>1.0</v>
      </c>
      <c r="Y356" s="6">
        <v>1.0</v>
      </c>
      <c r="Z356" s="6">
        <v>1.0</v>
      </c>
      <c r="AA356" s="6">
        <v>1.0</v>
      </c>
      <c r="AB356" s="6">
        <v>1.0</v>
      </c>
      <c r="AC356" s="6">
        <v>1.0</v>
      </c>
      <c r="AD356" s="6">
        <v>1.0</v>
      </c>
      <c r="AE356" s="6">
        <v>0.0</v>
      </c>
      <c r="AF356" s="6">
        <v>1.0</v>
      </c>
      <c r="AG356" s="6">
        <v>1.0</v>
      </c>
      <c r="AH356" s="6">
        <v>1.0</v>
      </c>
      <c r="AI356" s="6">
        <v>0.0</v>
      </c>
      <c r="AJ356" s="6">
        <v>1.0</v>
      </c>
      <c r="AL356" s="6">
        <f t="shared" si="93"/>
        <v>22</v>
      </c>
      <c r="AN356" s="38">
        <f t="shared" si="94"/>
        <v>0.4850712501</v>
      </c>
      <c r="AP356">
        <f t="shared" si="95"/>
        <v>-2</v>
      </c>
      <c r="AX356" s="38">
        <f t="shared" si="96"/>
        <v>0.02257396001</v>
      </c>
    </row>
    <row r="357">
      <c r="B357" s="8" t="s">
        <v>23</v>
      </c>
      <c r="C357" s="6">
        <v>1.0</v>
      </c>
      <c r="D357" s="6">
        <v>0.0</v>
      </c>
      <c r="E357" s="6">
        <v>0.0</v>
      </c>
      <c r="F357" s="6">
        <v>0.0</v>
      </c>
      <c r="G357" s="6">
        <v>0.0</v>
      </c>
      <c r="H357" s="6">
        <v>1.0</v>
      </c>
      <c r="I357" s="6">
        <v>0.0</v>
      </c>
      <c r="J357" s="6">
        <v>1.0</v>
      </c>
      <c r="K357" s="6">
        <v>0.0</v>
      </c>
      <c r="L357" s="6">
        <v>0.0</v>
      </c>
      <c r="M357" s="6">
        <v>0.0</v>
      </c>
      <c r="N357" s="6">
        <v>1.0</v>
      </c>
      <c r="O357" s="6">
        <v>0.0</v>
      </c>
      <c r="P357" s="6">
        <v>0.0</v>
      </c>
      <c r="Q357" s="6">
        <v>1.0</v>
      </c>
      <c r="R357" s="6">
        <v>0.0</v>
      </c>
      <c r="S357" s="6">
        <v>0.0</v>
      </c>
      <c r="T357" s="6">
        <v>1.0</v>
      </c>
      <c r="U357" s="6">
        <v>1.0</v>
      </c>
      <c r="V357" s="6">
        <v>1.0</v>
      </c>
      <c r="W357" s="6">
        <v>0.0</v>
      </c>
      <c r="X357" s="6">
        <v>0.0</v>
      </c>
      <c r="Y357" s="6">
        <v>1.0</v>
      </c>
      <c r="Z357" s="6">
        <v>0.0</v>
      </c>
      <c r="AA357" s="6">
        <v>0.0</v>
      </c>
      <c r="AB357" s="6">
        <v>0.0</v>
      </c>
      <c r="AC357" s="6">
        <v>0.0</v>
      </c>
      <c r="AD357" s="6">
        <v>1.0</v>
      </c>
      <c r="AE357" s="6">
        <v>1.0</v>
      </c>
      <c r="AF357" s="6">
        <v>0.0</v>
      </c>
      <c r="AG357" s="6">
        <v>0.0</v>
      </c>
      <c r="AH357" s="6">
        <v>1.0</v>
      </c>
      <c r="AI357" s="6">
        <v>0.0</v>
      </c>
      <c r="AJ357" s="6">
        <v>1.0</v>
      </c>
      <c r="AL357" s="6">
        <f t="shared" si="93"/>
        <v>13</v>
      </c>
      <c r="AN357" s="38">
        <f t="shared" si="94"/>
        <v>0.4932702181</v>
      </c>
      <c r="AP357">
        <f t="shared" si="95"/>
        <v>1</v>
      </c>
      <c r="AX357" s="38">
        <f t="shared" si="96"/>
        <v>0.008198967984</v>
      </c>
    </row>
    <row r="358">
      <c r="B358" s="8" t="s">
        <v>24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1.0</v>
      </c>
      <c r="I358" s="6">
        <v>0.0</v>
      </c>
      <c r="J358" s="6">
        <v>1.0</v>
      </c>
      <c r="K358" s="6">
        <v>0.0</v>
      </c>
      <c r="L358" s="6">
        <v>0.0</v>
      </c>
      <c r="M358" s="6">
        <v>0.0</v>
      </c>
      <c r="N358" s="6">
        <v>0.0</v>
      </c>
      <c r="O358" s="6">
        <v>0.0</v>
      </c>
      <c r="P358" s="6">
        <v>0.0</v>
      </c>
      <c r="Q358" s="6">
        <v>1.0</v>
      </c>
      <c r="R358" s="6">
        <v>0.0</v>
      </c>
      <c r="S358" s="6">
        <v>0.0</v>
      </c>
      <c r="T358" s="6">
        <v>0.0</v>
      </c>
      <c r="U358" s="6">
        <v>0.0</v>
      </c>
      <c r="V358" s="6">
        <v>0.0</v>
      </c>
      <c r="W358" s="6">
        <v>0.0</v>
      </c>
      <c r="X358" s="6">
        <v>0.0</v>
      </c>
      <c r="Y358" s="6">
        <v>1.0</v>
      </c>
      <c r="Z358" s="6">
        <v>0.0</v>
      </c>
      <c r="AA358" s="6">
        <v>1.0</v>
      </c>
      <c r="AB358" s="6">
        <v>0.0</v>
      </c>
      <c r="AC358" s="6">
        <v>0.0</v>
      </c>
      <c r="AD358" s="6">
        <v>0.0</v>
      </c>
      <c r="AE358" s="6">
        <v>0.0</v>
      </c>
      <c r="AF358" s="6">
        <v>0.0</v>
      </c>
      <c r="AG358" s="6">
        <v>0.0</v>
      </c>
      <c r="AH358" s="6">
        <v>0.0</v>
      </c>
      <c r="AI358" s="6">
        <v>0.0</v>
      </c>
      <c r="AJ358" s="6">
        <v>1.0</v>
      </c>
      <c r="AL358" s="6">
        <f t="shared" si="93"/>
        <v>6</v>
      </c>
      <c r="AN358" s="38">
        <f t="shared" si="94"/>
        <v>0.386952995</v>
      </c>
      <c r="AP358">
        <f t="shared" si="95"/>
        <v>-2</v>
      </c>
      <c r="AX358" s="38">
        <f t="shared" si="96"/>
        <v>-0.04360855023</v>
      </c>
    </row>
    <row r="359">
      <c r="B359" s="8" t="s">
        <v>25</v>
      </c>
      <c r="C359" s="6">
        <v>0.0</v>
      </c>
      <c r="D359" s="6">
        <v>1.0</v>
      </c>
      <c r="E359" s="6">
        <v>0.0</v>
      </c>
      <c r="F359" s="6">
        <v>0.0</v>
      </c>
      <c r="G359" s="6">
        <v>0.0</v>
      </c>
      <c r="H359" s="6">
        <v>1.0</v>
      </c>
      <c r="I359" s="6">
        <v>0.0</v>
      </c>
      <c r="J359" s="6">
        <v>1.0</v>
      </c>
      <c r="K359" s="6">
        <v>0.0</v>
      </c>
      <c r="L359" s="6">
        <v>0.0</v>
      </c>
      <c r="M359" s="6">
        <v>0.0</v>
      </c>
      <c r="N359" s="6">
        <v>1.0</v>
      </c>
      <c r="O359" s="6">
        <v>0.0</v>
      </c>
      <c r="P359" s="6">
        <v>0.0</v>
      </c>
      <c r="Q359" s="6">
        <v>1.0</v>
      </c>
      <c r="R359" s="6">
        <v>1.0</v>
      </c>
      <c r="S359" s="6">
        <v>1.0</v>
      </c>
      <c r="T359" s="6">
        <v>0.0</v>
      </c>
      <c r="U359" s="6">
        <v>0.0</v>
      </c>
      <c r="V359" s="6">
        <v>1.0</v>
      </c>
      <c r="W359" s="6">
        <v>0.0</v>
      </c>
      <c r="X359" s="6">
        <v>1.0</v>
      </c>
      <c r="Y359" s="6">
        <v>1.0</v>
      </c>
      <c r="Z359" s="6">
        <v>1.0</v>
      </c>
      <c r="AA359" s="6">
        <v>1.0</v>
      </c>
      <c r="AB359" s="6">
        <v>1.0</v>
      </c>
      <c r="AC359" s="6">
        <v>1.0</v>
      </c>
      <c r="AD359" s="6">
        <v>0.0</v>
      </c>
      <c r="AE359" s="6">
        <v>0.0</v>
      </c>
      <c r="AF359" s="6">
        <v>0.0</v>
      </c>
      <c r="AG359" s="6">
        <v>0.0</v>
      </c>
      <c r="AH359" s="6">
        <v>1.0</v>
      </c>
      <c r="AI359" s="6">
        <v>1.0</v>
      </c>
      <c r="AJ359" s="6">
        <v>1.0</v>
      </c>
      <c r="AL359" s="6">
        <f t="shared" si="93"/>
        <v>17</v>
      </c>
      <c r="AN359" s="38">
        <f t="shared" si="94"/>
        <v>0.5075192189</v>
      </c>
      <c r="AP359">
        <f t="shared" si="95"/>
        <v>0</v>
      </c>
      <c r="AX359" s="38">
        <f t="shared" si="96"/>
        <v>0</v>
      </c>
    </row>
    <row r="360">
      <c r="B360" s="8" t="s">
        <v>26</v>
      </c>
      <c r="C360" s="6">
        <v>1.0</v>
      </c>
      <c r="D360" s="6">
        <v>1.0</v>
      </c>
      <c r="E360" s="6">
        <v>1.0</v>
      </c>
      <c r="F360" s="6">
        <v>0.0</v>
      </c>
      <c r="G360" s="6">
        <v>1.0</v>
      </c>
      <c r="H360" s="6">
        <v>0.0</v>
      </c>
      <c r="I360" s="6">
        <v>1.0</v>
      </c>
      <c r="J360" s="6">
        <v>1.0</v>
      </c>
      <c r="K360" s="6">
        <v>1.0</v>
      </c>
      <c r="L360" s="6">
        <v>0.0</v>
      </c>
      <c r="M360" s="6">
        <v>1.0</v>
      </c>
      <c r="N360" s="6">
        <v>1.0</v>
      </c>
      <c r="O360" s="6">
        <v>0.0</v>
      </c>
      <c r="P360" s="6">
        <v>1.0</v>
      </c>
      <c r="Q360" s="6">
        <v>1.0</v>
      </c>
      <c r="R360" s="6">
        <v>1.0</v>
      </c>
      <c r="S360" s="6">
        <v>1.0</v>
      </c>
      <c r="T360" s="6">
        <v>1.0</v>
      </c>
      <c r="U360" s="6">
        <v>1.0</v>
      </c>
      <c r="V360" s="6">
        <v>1.0</v>
      </c>
      <c r="W360" s="6">
        <v>1.0</v>
      </c>
      <c r="X360" s="6">
        <v>1.0</v>
      </c>
      <c r="Y360" s="6">
        <v>1.0</v>
      </c>
      <c r="Z360" s="6">
        <v>1.0</v>
      </c>
      <c r="AA360" s="6">
        <v>0.0</v>
      </c>
      <c r="AB360" s="6">
        <v>1.0</v>
      </c>
      <c r="AC360" s="6">
        <v>0.0</v>
      </c>
      <c r="AD360" s="6">
        <v>1.0</v>
      </c>
      <c r="AE360" s="6">
        <v>0.0</v>
      </c>
      <c r="AF360" s="6">
        <v>0.0</v>
      </c>
      <c r="AG360" s="6">
        <v>1.0</v>
      </c>
      <c r="AH360" s="6">
        <v>1.0</v>
      </c>
      <c r="AI360" s="6">
        <v>0.0</v>
      </c>
      <c r="AJ360" s="6">
        <v>1.0</v>
      </c>
      <c r="AL360" s="6">
        <f t="shared" si="93"/>
        <v>25</v>
      </c>
      <c r="AN360" s="38">
        <f t="shared" si="94"/>
        <v>0.4478110755</v>
      </c>
      <c r="AP360">
        <f t="shared" si="95"/>
        <v>9</v>
      </c>
      <c r="AX360" s="38">
        <f t="shared" si="96"/>
        <v>-0.05882932158</v>
      </c>
    </row>
    <row r="361">
      <c r="B361" s="9" t="s">
        <v>27</v>
      </c>
      <c r="C361" s="6">
        <v>0.0</v>
      </c>
      <c r="D361" s="6">
        <v>1.0</v>
      </c>
      <c r="E361" s="6">
        <v>0.0</v>
      </c>
      <c r="F361" s="6">
        <v>1.0</v>
      </c>
      <c r="G361" s="6">
        <v>0.0</v>
      </c>
      <c r="H361" s="6">
        <v>1.0</v>
      </c>
      <c r="I361" s="6">
        <v>0.0</v>
      </c>
      <c r="J361" s="6">
        <v>1.0</v>
      </c>
      <c r="K361" s="6">
        <v>0.0</v>
      </c>
      <c r="L361" s="6">
        <v>0.0</v>
      </c>
      <c r="M361" s="6">
        <v>1.0</v>
      </c>
      <c r="N361" s="6">
        <v>0.0</v>
      </c>
      <c r="O361" s="6">
        <v>0.0</v>
      </c>
      <c r="P361" s="6">
        <v>1.0</v>
      </c>
      <c r="Q361" s="6">
        <v>1.0</v>
      </c>
      <c r="R361" s="6">
        <v>1.0</v>
      </c>
      <c r="S361" s="6">
        <v>1.0</v>
      </c>
      <c r="T361" s="6">
        <v>0.0</v>
      </c>
      <c r="U361" s="6">
        <v>0.0</v>
      </c>
      <c r="V361" s="6">
        <v>0.0</v>
      </c>
      <c r="W361" s="6">
        <v>1.0</v>
      </c>
      <c r="X361" s="6">
        <v>0.0</v>
      </c>
      <c r="Y361" s="6">
        <v>1.0</v>
      </c>
      <c r="Z361" s="6">
        <v>0.0</v>
      </c>
      <c r="AA361" s="6">
        <v>1.0</v>
      </c>
      <c r="AB361" s="6">
        <v>0.0</v>
      </c>
      <c r="AC361" s="6">
        <v>1.0</v>
      </c>
      <c r="AD361" s="6">
        <v>1.0</v>
      </c>
      <c r="AE361" s="6">
        <v>0.0</v>
      </c>
      <c r="AF361" s="6">
        <v>0.0</v>
      </c>
      <c r="AG361" s="6">
        <v>0.0</v>
      </c>
      <c r="AH361" s="6">
        <v>1.0</v>
      </c>
      <c r="AI361" s="6">
        <v>0.0</v>
      </c>
      <c r="AJ361" s="6">
        <v>1.0</v>
      </c>
      <c r="AL361" s="6">
        <f t="shared" si="93"/>
        <v>16</v>
      </c>
      <c r="AN361" s="38">
        <f t="shared" si="94"/>
        <v>0.5066403971</v>
      </c>
      <c r="AP361">
        <f t="shared" si="95"/>
        <v>7</v>
      </c>
      <c r="AX361" s="38">
        <f t="shared" si="96"/>
        <v>0.05882932158</v>
      </c>
    </row>
    <row r="362">
      <c r="B362" s="9" t="s">
        <v>28</v>
      </c>
      <c r="C362" s="6">
        <v>1.0</v>
      </c>
      <c r="D362" s="6">
        <v>1.0</v>
      </c>
      <c r="E362" s="6">
        <v>1.0</v>
      </c>
      <c r="F362" s="6">
        <v>1.0</v>
      </c>
      <c r="G362" s="6">
        <v>0.0</v>
      </c>
      <c r="H362" s="6">
        <v>1.0</v>
      </c>
      <c r="I362" s="6">
        <v>1.0</v>
      </c>
      <c r="J362" s="6">
        <v>1.0</v>
      </c>
      <c r="K362" s="6">
        <v>1.0</v>
      </c>
      <c r="L362" s="6">
        <v>1.0</v>
      </c>
      <c r="M362" s="6">
        <v>0.0</v>
      </c>
      <c r="N362" s="6">
        <v>1.0</v>
      </c>
      <c r="O362" s="6">
        <v>1.0</v>
      </c>
      <c r="P362" s="6">
        <v>1.0</v>
      </c>
      <c r="Q362" s="6">
        <v>1.0</v>
      </c>
      <c r="R362" s="6">
        <v>1.0</v>
      </c>
      <c r="S362" s="6">
        <v>1.0</v>
      </c>
      <c r="T362" s="6">
        <v>1.0</v>
      </c>
      <c r="U362" s="6">
        <v>1.0</v>
      </c>
      <c r="V362" s="6">
        <v>1.0</v>
      </c>
      <c r="W362" s="6">
        <v>1.0</v>
      </c>
      <c r="X362" s="6">
        <v>1.0</v>
      </c>
      <c r="Y362" s="6">
        <v>1.0</v>
      </c>
      <c r="Z362" s="6">
        <v>1.0</v>
      </c>
      <c r="AA362" s="6">
        <v>1.0</v>
      </c>
      <c r="AB362" s="6">
        <v>1.0</v>
      </c>
      <c r="AC362" s="6">
        <v>1.0</v>
      </c>
      <c r="AD362" s="6">
        <v>1.0</v>
      </c>
      <c r="AE362" s="6">
        <v>1.0</v>
      </c>
      <c r="AF362" s="6">
        <v>1.0</v>
      </c>
      <c r="AG362" s="6">
        <v>0.0</v>
      </c>
      <c r="AH362" s="6">
        <v>1.0</v>
      </c>
      <c r="AI362" s="6">
        <v>1.0</v>
      </c>
      <c r="AJ362" s="6">
        <v>1.0</v>
      </c>
      <c r="AL362" s="6">
        <f t="shared" si="93"/>
        <v>31</v>
      </c>
      <c r="AN362" s="38">
        <f t="shared" si="94"/>
        <v>0.2879022413</v>
      </c>
      <c r="AP362">
        <f t="shared" si="95"/>
        <v>10</v>
      </c>
      <c r="AX362" s="38">
        <f t="shared" si="96"/>
        <v>-0.2053679768</v>
      </c>
    </row>
    <row r="363">
      <c r="B363" s="8" t="s">
        <v>29</v>
      </c>
      <c r="C363" s="6">
        <v>1.0</v>
      </c>
      <c r="D363" s="6">
        <v>1.0</v>
      </c>
      <c r="E363" s="6">
        <v>0.0</v>
      </c>
      <c r="F363" s="6">
        <v>1.0</v>
      </c>
      <c r="G363" s="6">
        <v>1.0</v>
      </c>
      <c r="H363" s="6">
        <v>1.0</v>
      </c>
      <c r="I363" s="6">
        <v>0.0</v>
      </c>
      <c r="J363" s="6">
        <v>1.0</v>
      </c>
      <c r="K363" s="6">
        <v>1.0</v>
      </c>
      <c r="L363" s="6">
        <v>0.0</v>
      </c>
      <c r="M363" s="6">
        <v>1.0</v>
      </c>
      <c r="N363" s="6">
        <v>1.0</v>
      </c>
      <c r="O363" s="6">
        <v>1.0</v>
      </c>
      <c r="P363" s="6">
        <v>0.0</v>
      </c>
      <c r="Q363" s="6">
        <v>1.0</v>
      </c>
      <c r="R363" s="6">
        <v>1.0</v>
      </c>
      <c r="S363" s="6">
        <v>1.0</v>
      </c>
      <c r="T363" s="6">
        <v>0.0</v>
      </c>
      <c r="U363" s="6">
        <v>1.0</v>
      </c>
      <c r="V363" s="6">
        <v>1.0</v>
      </c>
      <c r="W363" s="6">
        <v>0.0</v>
      </c>
      <c r="X363" s="6">
        <v>0.0</v>
      </c>
      <c r="Y363" s="6">
        <v>1.0</v>
      </c>
      <c r="Z363" s="6">
        <v>1.0</v>
      </c>
      <c r="AA363" s="6">
        <v>1.0</v>
      </c>
      <c r="AB363" s="6">
        <v>0.0</v>
      </c>
      <c r="AC363" s="6">
        <v>0.0</v>
      </c>
      <c r="AD363" s="6">
        <v>1.0</v>
      </c>
      <c r="AE363" s="6">
        <v>0.0</v>
      </c>
      <c r="AF363" s="6">
        <v>0.0</v>
      </c>
      <c r="AG363" s="6">
        <v>0.0</v>
      </c>
      <c r="AH363" s="6">
        <v>1.0</v>
      </c>
      <c r="AI363" s="6">
        <v>0.0</v>
      </c>
      <c r="AJ363" s="6">
        <v>1.0</v>
      </c>
      <c r="AL363" s="6">
        <f t="shared" si="93"/>
        <v>21</v>
      </c>
      <c r="AN363" s="38">
        <f t="shared" si="94"/>
        <v>0.4932702181</v>
      </c>
      <c r="AP363">
        <f t="shared" si="95"/>
        <v>3</v>
      </c>
      <c r="AX363" s="38">
        <f t="shared" si="96"/>
        <v>-0.01337017905</v>
      </c>
    </row>
    <row r="364">
      <c r="B364" s="8" t="s">
        <v>30</v>
      </c>
      <c r="C364" s="6">
        <v>1.0</v>
      </c>
      <c r="D364" s="6">
        <v>1.0</v>
      </c>
      <c r="E364" s="6">
        <v>1.0</v>
      </c>
      <c r="F364" s="6">
        <v>1.0</v>
      </c>
      <c r="G364" s="6">
        <v>0.0</v>
      </c>
      <c r="H364" s="6">
        <v>1.0</v>
      </c>
      <c r="I364" s="6">
        <v>1.0</v>
      </c>
      <c r="J364" s="6">
        <v>1.0</v>
      </c>
      <c r="K364" s="6">
        <v>1.0</v>
      </c>
      <c r="L364" s="6">
        <v>0.0</v>
      </c>
      <c r="M364" s="6">
        <v>0.0</v>
      </c>
      <c r="N364" s="6">
        <v>1.0</v>
      </c>
      <c r="O364" s="6">
        <v>0.0</v>
      </c>
      <c r="P364" s="6">
        <v>0.0</v>
      </c>
      <c r="Q364" s="6">
        <v>0.0</v>
      </c>
      <c r="R364" s="6">
        <v>1.0</v>
      </c>
      <c r="S364" s="6">
        <v>0.0</v>
      </c>
      <c r="T364" s="6">
        <v>1.0</v>
      </c>
      <c r="U364" s="6">
        <v>1.0</v>
      </c>
      <c r="V364" s="6">
        <v>1.0</v>
      </c>
      <c r="W364" s="6">
        <v>1.0</v>
      </c>
      <c r="X364" s="6">
        <v>1.0</v>
      </c>
      <c r="Y364" s="6">
        <v>1.0</v>
      </c>
      <c r="Z364" s="6">
        <v>1.0</v>
      </c>
      <c r="AA364" s="6">
        <v>1.0</v>
      </c>
      <c r="AB364" s="6">
        <v>0.0</v>
      </c>
      <c r="AC364" s="6">
        <v>1.0</v>
      </c>
      <c r="AD364" s="6">
        <v>1.0</v>
      </c>
      <c r="AE364" s="6">
        <v>0.0</v>
      </c>
      <c r="AF364" s="6">
        <v>1.0</v>
      </c>
      <c r="AG364" s="6">
        <v>0.0</v>
      </c>
      <c r="AH364" s="6">
        <v>1.0</v>
      </c>
      <c r="AI364" s="6">
        <v>0.0</v>
      </c>
      <c r="AJ364" s="6">
        <v>1.0</v>
      </c>
      <c r="AL364" s="6">
        <f t="shared" si="93"/>
        <v>23</v>
      </c>
      <c r="AN364" s="38">
        <f t="shared" si="94"/>
        <v>0.4748580799</v>
      </c>
      <c r="AP364">
        <f t="shared" si="95"/>
        <v>5</v>
      </c>
      <c r="AX364" s="38">
        <f t="shared" si="96"/>
        <v>-0.03178231717</v>
      </c>
    </row>
    <row r="365">
      <c r="B365" s="8" t="s">
        <v>31</v>
      </c>
      <c r="C365" s="6">
        <v>1.0</v>
      </c>
      <c r="D365" s="6">
        <v>1.0</v>
      </c>
      <c r="E365" s="6">
        <v>0.0</v>
      </c>
      <c r="F365" s="6">
        <v>1.0</v>
      </c>
      <c r="G365" s="6">
        <v>0.0</v>
      </c>
      <c r="H365" s="6">
        <v>1.0</v>
      </c>
      <c r="I365" s="6">
        <v>1.0</v>
      </c>
      <c r="J365" s="6">
        <v>1.0</v>
      </c>
      <c r="K365" s="6">
        <v>1.0</v>
      </c>
      <c r="L365" s="6">
        <v>0.0</v>
      </c>
      <c r="M365" s="6">
        <v>1.0</v>
      </c>
      <c r="N365" s="6">
        <v>0.0</v>
      </c>
      <c r="O365" s="6">
        <v>0.0</v>
      </c>
      <c r="P365" s="6">
        <v>0.0</v>
      </c>
      <c r="Q365" s="6">
        <v>0.0</v>
      </c>
      <c r="R365" s="6">
        <v>0.0</v>
      </c>
      <c r="S365" s="6">
        <v>1.0</v>
      </c>
      <c r="T365" s="6">
        <v>1.0</v>
      </c>
      <c r="U365" s="6">
        <v>1.0</v>
      </c>
      <c r="V365" s="6">
        <v>1.0</v>
      </c>
      <c r="W365" s="6">
        <v>1.0</v>
      </c>
      <c r="X365" s="6">
        <v>0.0</v>
      </c>
      <c r="Y365" s="6">
        <v>1.0</v>
      </c>
      <c r="Z365" s="6">
        <v>1.0</v>
      </c>
      <c r="AA365" s="6">
        <v>0.0</v>
      </c>
      <c r="AB365" s="6">
        <v>1.0</v>
      </c>
      <c r="AC365" s="6">
        <v>1.0</v>
      </c>
      <c r="AD365" s="6">
        <v>0.0</v>
      </c>
      <c r="AE365" s="6">
        <v>1.0</v>
      </c>
      <c r="AF365" s="6">
        <v>0.0</v>
      </c>
      <c r="AG365" s="6">
        <v>1.0</v>
      </c>
      <c r="AH365" s="6">
        <v>1.0</v>
      </c>
      <c r="AI365" s="6">
        <v>0.0</v>
      </c>
      <c r="AJ365" s="6">
        <v>1.0</v>
      </c>
      <c r="AL365" s="6">
        <f t="shared" si="93"/>
        <v>21</v>
      </c>
      <c r="AN365" s="38">
        <f t="shared" si="94"/>
        <v>0.4932702181</v>
      </c>
      <c r="AP365">
        <f t="shared" si="95"/>
        <v>2</v>
      </c>
      <c r="AX365" s="38">
        <f t="shared" si="96"/>
        <v>-0.0107245192</v>
      </c>
    </row>
    <row r="366">
      <c r="B366" s="8" t="s">
        <v>32</v>
      </c>
      <c r="C366" s="6">
        <v>1.0</v>
      </c>
      <c r="D366" s="6">
        <v>1.0</v>
      </c>
      <c r="E366" s="6">
        <v>1.0</v>
      </c>
      <c r="F366" s="6">
        <v>1.0</v>
      </c>
      <c r="G366" s="6">
        <v>0.0</v>
      </c>
      <c r="H366" s="6">
        <v>1.0</v>
      </c>
      <c r="I366" s="6">
        <v>1.0</v>
      </c>
      <c r="J366" s="6">
        <v>1.0</v>
      </c>
      <c r="K366" s="6">
        <v>1.0</v>
      </c>
      <c r="L366" s="6">
        <v>0.0</v>
      </c>
      <c r="M366" s="6">
        <v>0.0</v>
      </c>
      <c r="N366" s="6">
        <v>1.0</v>
      </c>
      <c r="O366" s="6">
        <v>1.0</v>
      </c>
      <c r="P366" s="6">
        <v>0.0</v>
      </c>
      <c r="Q366" s="6">
        <v>0.0</v>
      </c>
      <c r="R366" s="6">
        <v>1.0</v>
      </c>
      <c r="S366" s="6">
        <v>1.0</v>
      </c>
      <c r="T366" s="6">
        <v>1.0</v>
      </c>
      <c r="U366" s="6">
        <v>1.0</v>
      </c>
      <c r="V366" s="6">
        <v>1.0</v>
      </c>
      <c r="W366" s="6">
        <v>1.0</v>
      </c>
      <c r="X366" s="6">
        <v>1.0</v>
      </c>
      <c r="Y366" s="6">
        <v>1.0</v>
      </c>
      <c r="Z366" s="6">
        <v>1.0</v>
      </c>
      <c r="AA366" s="6">
        <v>1.0</v>
      </c>
      <c r="AB366" s="6">
        <v>1.0</v>
      </c>
      <c r="AC366" s="6">
        <v>1.0</v>
      </c>
      <c r="AD366" s="6">
        <v>0.0</v>
      </c>
      <c r="AE366" s="6">
        <v>0.0</v>
      </c>
      <c r="AF366" s="6">
        <v>0.0</v>
      </c>
      <c r="AG366" s="6">
        <v>0.0</v>
      </c>
      <c r="AH366" s="6">
        <v>1.0</v>
      </c>
      <c r="AI366" s="6">
        <v>1.0</v>
      </c>
      <c r="AJ366" s="6">
        <v>1.0</v>
      </c>
      <c r="AL366" s="6">
        <f t="shared" si="93"/>
        <v>25</v>
      </c>
      <c r="AN366" s="38">
        <f t="shared" si="94"/>
        <v>0.4478110755</v>
      </c>
      <c r="AP366">
        <f t="shared" si="95"/>
        <v>1</v>
      </c>
      <c r="AX366" s="38">
        <f t="shared" si="96"/>
        <v>-0.01468621454</v>
      </c>
    </row>
    <row r="367">
      <c r="B367" s="8" t="s">
        <v>33</v>
      </c>
      <c r="C367" s="6">
        <v>1.0</v>
      </c>
      <c r="D367" s="6">
        <v>1.0</v>
      </c>
      <c r="E367" s="6">
        <v>1.0</v>
      </c>
      <c r="F367" s="6">
        <v>0.0</v>
      </c>
      <c r="G367" s="6">
        <v>0.0</v>
      </c>
      <c r="H367" s="6">
        <v>0.0</v>
      </c>
      <c r="I367" s="6">
        <v>1.0</v>
      </c>
      <c r="J367" s="6">
        <v>1.0</v>
      </c>
      <c r="K367" s="6">
        <v>1.0</v>
      </c>
      <c r="L367" s="6">
        <v>0.0</v>
      </c>
      <c r="M367" s="6">
        <v>1.0</v>
      </c>
      <c r="N367" s="6">
        <v>1.0</v>
      </c>
      <c r="O367" s="6">
        <v>1.0</v>
      </c>
      <c r="P367" s="6">
        <v>1.0</v>
      </c>
      <c r="Q367" s="6">
        <v>1.0</v>
      </c>
      <c r="R367" s="6">
        <v>1.0</v>
      </c>
      <c r="S367" s="6">
        <v>1.0</v>
      </c>
      <c r="T367" s="6">
        <v>1.0</v>
      </c>
      <c r="U367" s="6">
        <v>0.0</v>
      </c>
      <c r="V367" s="6">
        <v>1.0</v>
      </c>
      <c r="W367" s="6">
        <v>1.0</v>
      </c>
      <c r="X367" s="6">
        <v>1.0</v>
      </c>
      <c r="Y367" s="6">
        <v>1.0</v>
      </c>
      <c r="Z367" s="6">
        <v>1.0</v>
      </c>
      <c r="AA367" s="6">
        <v>1.0</v>
      </c>
      <c r="AB367" s="6">
        <v>1.0</v>
      </c>
      <c r="AC367" s="6">
        <v>1.0</v>
      </c>
      <c r="AD367" s="6">
        <v>0.0</v>
      </c>
      <c r="AE367" s="6">
        <v>0.0</v>
      </c>
      <c r="AF367" s="6">
        <v>0.0</v>
      </c>
      <c r="AG367" s="6">
        <v>1.0</v>
      </c>
      <c r="AH367" s="6">
        <v>1.0</v>
      </c>
      <c r="AI367" s="6">
        <v>0.0</v>
      </c>
      <c r="AJ367" s="6">
        <v>1.0</v>
      </c>
      <c r="AL367" s="6">
        <f t="shared" si="93"/>
        <v>25</v>
      </c>
      <c r="AN367" s="38">
        <f t="shared" si="94"/>
        <v>0.4478110755</v>
      </c>
      <c r="AP367">
        <f t="shared" si="95"/>
        <v>4</v>
      </c>
      <c r="AX367" s="38">
        <f t="shared" si="96"/>
        <v>-0.04545914254</v>
      </c>
    </row>
    <row r="368">
      <c r="B368" s="8" t="s">
        <v>34</v>
      </c>
      <c r="C368" s="6">
        <v>1.0</v>
      </c>
      <c r="D368" s="6">
        <v>1.0</v>
      </c>
      <c r="E368" s="6">
        <v>0.0</v>
      </c>
      <c r="F368" s="6">
        <v>0.0</v>
      </c>
      <c r="G368" s="6">
        <v>0.0</v>
      </c>
      <c r="H368" s="6">
        <v>1.0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1.0</v>
      </c>
      <c r="R368" s="6">
        <v>0.0</v>
      </c>
      <c r="S368" s="6">
        <v>1.0</v>
      </c>
      <c r="T368" s="6">
        <v>0.0</v>
      </c>
      <c r="U368" s="6">
        <v>0.0</v>
      </c>
      <c r="V368" s="6">
        <v>0.0</v>
      </c>
      <c r="W368" s="6">
        <v>0.0</v>
      </c>
      <c r="X368" s="6">
        <v>0.0</v>
      </c>
      <c r="Y368" s="6">
        <v>1.0</v>
      </c>
      <c r="Z368" s="6">
        <v>0.0</v>
      </c>
      <c r="AA368" s="6">
        <v>1.0</v>
      </c>
      <c r="AB368" s="6">
        <v>0.0</v>
      </c>
      <c r="AC368" s="6">
        <v>0.0</v>
      </c>
      <c r="AD368" s="6">
        <v>1.0</v>
      </c>
      <c r="AE368" s="6">
        <v>0.0</v>
      </c>
      <c r="AF368" s="6">
        <v>0.0</v>
      </c>
      <c r="AG368" s="6">
        <v>0.0</v>
      </c>
      <c r="AH368" s="6">
        <v>0.0</v>
      </c>
      <c r="AI368" s="6">
        <v>0.0</v>
      </c>
      <c r="AJ368" s="6">
        <v>1.0</v>
      </c>
      <c r="AL368" s="6">
        <f t="shared" si="93"/>
        <v>9</v>
      </c>
      <c r="AN368" s="38">
        <f t="shared" si="94"/>
        <v>0.4478110755</v>
      </c>
      <c r="AP368">
        <f t="shared" si="95"/>
        <v>-2</v>
      </c>
      <c r="AX368" s="38">
        <f t="shared" si="96"/>
        <v>-0.02704700441</v>
      </c>
    </row>
    <row r="369">
      <c r="B369" s="8" t="s">
        <v>35</v>
      </c>
      <c r="C369" s="6">
        <v>1.0</v>
      </c>
      <c r="D369" s="6">
        <v>1.0</v>
      </c>
      <c r="E369" s="6">
        <v>1.0</v>
      </c>
      <c r="F369" s="6">
        <v>0.0</v>
      </c>
      <c r="G369" s="6">
        <v>0.0</v>
      </c>
      <c r="H369" s="6">
        <v>1.0</v>
      </c>
      <c r="I369" s="6">
        <v>0.0</v>
      </c>
      <c r="J369" s="6">
        <v>0.0</v>
      </c>
      <c r="K369" s="6">
        <v>1.0</v>
      </c>
      <c r="L369" s="6">
        <v>0.0</v>
      </c>
      <c r="M369" s="6">
        <v>0.0</v>
      </c>
      <c r="N369" s="6">
        <v>0.0</v>
      </c>
      <c r="O369" s="6">
        <v>0.0</v>
      </c>
      <c r="P369" s="6">
        <v>1.0</v>
      </c>
      <c r="Q369" s="6">
        <v>1.0</v>
      </c>
      <c r="R369" s="6">
        <v>0.0</v>
      </c>
      <c r="S369" s="6">
        <v>0.0</v>
      </c>
      <c r="T369" s="6">
        <v>1.0</v>
      </c>
      <c r="U369" s="6">
        <v>0.0</v>
      </c>
      <c r="V369" s="6">
        <v>1.0</v>
      </c>
      <c r="W369" s="6">
        <v>1.0</v>
      </c>
      <c r="X369" s="6">
        <v>1.0</v>
      </c>
      <c r="Y369" s="6">
        <v>1.0</v>
      </c>
      <c r="Z369" s="6">
        <v>0.0</v>
      </c>
      <c r="AA369" s="6">
        <v>1.0</v>
      </c>
      <c r="AB369" s="6">
        <v>1.0</v>
      </c>
      <c r="AC369" s="6">
        <v>0.0</v>
      </c>
      <c r="AD369" s="6">
        <v>1.0</v>
      </c>
      <c r="AE369" s="6">
        <v>0.0</v>
      </c>
      <c r="AF369" s="6">
        <v>0.0</v>
      </c>
      <c r="AG369" s="6">
        <v>1.0</v>
      </c>
      <c r="AH369" s="6">
        <v>1.0</v>
      </c>
      <c r="AI369" s="6">
        <v>0.0</v>
      </c>
      <c r="AJ369" s="6">
        <v>1.0</v>
      </c>
      <c r="AL369" s="6">
        <f t="shared" si="93"/>
        <v>18</v>
      </c>
      <c r="AN369" s="38">
        <f t="shared" si="94"/>
        <v>0.5066403971</v>
      </c>
      <c r="AP369">
        <f t="shared" si="95"/>
        <v>2</v>
      </c>
      <c r="AX369" s="38">
        <f t="shared" si="96"/>
        <v>0</v>
      </c>
    </row>
    <row r="370">
      <c r="B370" s="8" t="s">
        <v>36</v>
      </c>
      <c r="C370" s="6">
        <v>1.0</v>
      </c>
      <c r="D370" s="6">
        <v>1.0</v>
      </c>
      <c r="E370" s="6">
        <v>0.0</v>
      </c>
      <c r="F370" s="6">
        <v>1.0</v>
      </c>
      <c r="G370" s="6">
        <v>0.0</v>
      </c>
      <c r="H370" s="6">
        <v>1.0</v>
      </c>
      <c r="I370" s="6">
        <v>0.0</v>
      </c>
      <c r="J370" s="6">
        <v>1.0</v>
      </c>
      <c r="K370" s="6">
        <v>0.0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1.0</v>
      </c>
      <c r="R370" s="6">
        <v>1.0</v>
      </c>
      <c r="S370" s="6">
        <v>0.0</v>
      </c>
      <c r="T370" s="6">
        <v>1.0</v>
      </c>
      <c r="U370" s="6">
        <v>0.0</v>
      </c>
      <c r="V370" s="6">
        <v>0.0</v>
      </c>
      <c r="W370" s="6">
        <v>0.0</v>
      </c>
      <c r="X370" s="6">
        <v>0.0</v>
      </c>
      <c r="Y370" s="6">
        <v>1.0</v>
      </c>
      <c r="Z370" s="6">
        <v>0.0</v>
      </c>
      <c r="AA370" s="6">
        <v>1.0</v>
      </c>
      <c r="AB370" s="6">
        <v>1.0</v>
      </c>
      <c r="AC370" s="6">
        <v>0.0</v>
      </c>
      <c r="AD370" s="6">
        <v>1.0</v>
      </c>
      <c r="AE370" s="6">
        <v>1.0</v>
      </c>
      <c r="AF370" s="6">
        <v>0.0</v>
      </c>
      <c r="AG370" s="6">
        <v>0.0</v>
      </c>
      <c r="AH370" s="6">
        <v>1.0</v>
      </c>
      <c r="AI370" s="6">
        <v>0.0</v>
      </c>
      <c r="AJ370" s="6">
        <v>0.0</v>
      </c>
      <c r="AL370" s="6">
        <f t="shared" si="93"/>
        <v>14</v>
      </c>
      <c r="AN370" s="38">
        <f t="shared" si="94"/>
        <v>0.4995541684</v>
      </c>
      <c r="AP370">
        <f t="shared" si="95"/>
        <v>1</v>
      </c>
      <c r="AX370" s="38">
        <f t="shared" si="96"/>
        <v>0.006283950379</v>
      </c>
    </row>
    <row r="371">
      <c r="B371" s="5"/>
    </row>
    <row r="372">
      <c r="B372" s="2" t="s">
        <v>129</v>
      </c>
      <c r="C372" s="3">
        <v>1.0</v>
      </c>
      <c r="D372" s="3">
        <v>2.0</v>
      </c>
      <c r="E372" s="3">
        <v>3.0</v>
      </c>
      <c r="F372" s="3">
        <v>4.0</v>
      </c>
      <c r="G372" s="3">
        <v>5.0</v>
      </c>
      <c r="H372" s="3">
        <v>6.0</v>
      </c>
      <c r="I372" s="3">
        <v>7.0</v>
      </c>
      <c r="J372" s="3">
        <v>8.0</v>
      </c>
      <c r="K372" s="3">
        <v>9.0</v>
      </c>
      <c r="L372" s="3">
        <v>10.0</v>
      </c>
      <c r="M372" s="3">
        <v>11.0</v>
      </c>
      <c r="N372" s="3">
        <v>12.0</v>
      </c>
      <c r="O372" s="3">
        <v>13.0</v>
      </c>
      <c r="P372" s="3">
        <v>14.0</v>
      </c>
      <c r="Q372" s="3">
        <v>15.0</v>
      </c>
      <c r="R372" s="3">
        <v>16.0</v>
      </c>
      <c r="S372" s="3">
        <v>17.0</v>
      </c>
      <c r="T372" s="3">
        <v>18.0</v>
      </c>
      <c r="U372" s="3">
        <v>19.0</v>
      </c>
      <c r="V372" s="3">
        <v>20.0</v>
      </c>
      <c r="W372" s="3">
        <v>21.0</v>
      </c>
      <c r="X372" s="3">
        <v>22.0</v>
      </c>
      <c r="Z372" s="1" t="s">
        <v>130</v>
      </c>
      <c r="AB372" s="3">
        <v>1.0</v>
      </c>
      <c r="AC372" s="3">
        <v>2.0</v>
      </c>
      <c r="AD372" s="3">
        <v>3.0</v>
      </c>
      <c r="AE372" s="3">
        <v>4.0</v>
      </c>
      <c r="AF372" s="3">
        <v>5.0</v>
      </c>
      <c r="AG372" s="3">
        <v>6.0</v>
      </c>
      <c r="AH372" s="3">
        <v>7.0</v>
      </c>
      <c r="AJ372" s="4">
        <v>90.0</v>
      </c>
      <c r="AL372" s="10" t="s">
        <v>54</v>
      </c>
      <c r="AN372" s="3" t="s">
        <v>131</v>
      </c>
      <c r="AO372" s="3" t="s">
        <v>132</v>
      </c>
      <c r="AQ372" s="10" t="s">
        <v>133</v>
      </c>
      <c r="AR372" s="10" t="s">
        <v>134</v>
      </c>
      <c r="AS372" s="10" t="s">
        <v>135</v>
      </c>
      <c r="AT372" s="10" t="s">
        <v>136</v>
      </c>
      <c r="AU372" s="10" t="s">
        <v>137</v>
      </c>
      <c r="AV372" s="10" t="s">
        <v>138</v>
      </c>
      <c r="AX372" s="10" t="s">
        <v>133</v>
      </c>
      <c r="AY372" s="10" t="s">
        <v>134</v>
      </c>
      <c r="AZ372" s="10" t="s">
        <v>135</v>
      </c>
      <c r="BA372" s="10" t="s">
        <v>136</v>
      </c>
      <c r="BB372" s="10" t="s">
        <v>137</v>
      </c>
      <c r="BC372" s="10" t="s">
        <v>138</v>
      </c>
      <c r="BE372" s="10" t="s">
        <v>54</v>
      </c>
      <c r="BG372" s="10" t="s">
        <v>133</v>
      </c>
      <c r="BH372" s="10" t="s">
        <v>134</v>
      </c>
      <c r="BI372" s="10" t="s">
        <v>135</v>
      </c>
      <c r="BJ372" s="10" t="s">
        <v>136</v>
      </c>
      <c r="BK372" s="10" t="s">
        <v>137</v>
      </c>
      <c r="BL372" s="10" t="s">
        <v>138</v>
      </c>
    </row>
    <row r="373">
      <c r="B373" s="5" t="s">
        <v>2</v>
      </c>
      <c r="C373" s="4">
        <v>6.0</v>
      </c>
      <c r="D373" s="4">
        <v>6.0</v>
      </c>
      <c r="E373" s="4">
        <v>6.0</v>
      </c>
      <c r="F373" s="4">
        <v>5.0</v>
      </c>
      <c r="G373" s="4">
        <v>2.0</v>
      </c>
      <c r="H373" s="4">
        <v>6.0</v>
      </c>
      <c r="I373" s="4">
        <v>6.0</v>
      </c>
      <c r="J373" s="4">
        <v>3.0</v>
      </c>
      <c r="K373" s="4">
        <v>5.0</v>
      </c>
      <c r="L373" s="4">
        <v>6.0</v>
      </c>
      <c r="M373" s="4">
        <v>5.0</v>
      </c>
      <c r="N373" s="4">
        <v>5.0</v>
      </c>
      <c r="O373" s="4">
        <v>5.0</v>
      </c>
      <c r="P373" s="4">
        <v>2.0</v>
      </c>
      <c r="Q373" s="4">
        <v>2.0</v>
      </c>
      <c r="R373" s="4">
        <v>5.0</v>
      </c>
      <c r="S373" s="4">
        <v>2.0</v>
      </c>
      <c r="T373" s="4">
        <v>5.0</v>
      </c>
      <c r="U373" s="4">
        <v>5.0</v>
      </c>
      <c r="V373" s="4">
        <v>6.0</v>
      </c>
      <c r="W373" s="4">
        <v>5.0</v>
      </c>
      <c r="X373" s="4">
        <v>5.0</v>
      </c>
      <c r="AB373" s="4">
        <v>4.0</v>
      </c>
      <c r="AC373" s="4">
        <v>2.0</v>
      </c>
      <c r="AD373" s="4">
        <v>4.0</v>
      </c>
      <c r="AE373" s="4">
        <v>2.0</v>
      </c>
      <c r="AF373" s="4">
        <v>2.0</v>
      </c>
      <c r="AG373" s="4">
        <v>2.0</v>
      </c>
      <c r="AH373" s="4">
        <v>4.0</v>
      </c>
      <c r="AL373" s="6">
        <f t="shared" ref="AL373:AL442" si="100">STDEV(C373:X373,AB373:AH373)</f>
        <v>1.573330689</v>
      </c>
      <c r="AN373" s="4">
        <f>7-G373</f>
        <v>5</v>
      </c>
      <c r="AO373" s="4">
        <f>7-J373</f>
        <v>4</v>
      </c>
      <c r="AQ373" s="4">
        <f t="shared" ref="AQ373:AS373" si="97">E373</f>
        <v>6</v>
      </c>
      <c r="AR373" s="4">
        <f t="shared" si="97"/>
        <v>5</v>
      </c>
      <c r="AS373" s="4">
        <f t="shared" si="97"/>
        <v>2</v>
      </c>
      <c r="AT373" s="4">
        <f>sum(C373,D373,E373,AN373,H373,I373,AO373)</f>
        <v>39</v>
      </c>
      <c r="AU373" s="4">
        <f>sum(P373:T373)</f>
        <v>16</v>
      </c>
      <c r="AV373" s="4">
        <f>sum(U373:X373)</f>
        <v>21</v>
      </c>
      <c r="AX373" s="29">
        <f t="shared" ref="AX373:BA373" si="98">AQ373-AQ151</f>
        <v>1</v>
      </c>
      <c r="AY373" s="29">
        <f t="shared" si="98"/>
        <v>0</v>
      </c>
      <c r="AZ373" s="29">
        <f t="shared" si="98"/>
        <v>0</v>
      </c>
      <c r="BA373" s="29">
        <f t="shared" si="98"/>
        <v>2</v>
      </c>
      <c r="BB373" s="4"/>
      <c r="BC373" s="4"/>
      <c r="BE373" s="6">
        <f t="shared" ref="BE373:BE442" si="101">AL373-AO151</f>
        <v>-0.2961809826</v>
      </c>
      <c r="BG373" s="24">
        <f t="shared" ref="BG373:BJ373" si="99">sum(AX373:AX402)</f>
        <v>3</v>
      </c>
      <c r="BH373" s="24">
        <f t="shared" si="99"/>
        <v>-6</v>
      </c>
      <c r="BI373" s="24">
        <f t="shared" si="99"/>
        <v>0</v>
      </c>
      <c r="BJ373" s="24">
        <f t="shared" si="99"/>
        <v>23</v>
      </c>
    </row>
    <row r="374">
      <c r="C374" s="6">
        <v>83.0</v>
      </c>
      <c r="D374" s="6">
        <v>80.0</v>
      </c>
      <c r="E374" s="6">
        <v>71.0</v>
      </c>
      <c r="F374" s="6">
        <v>79.0</v>
      </c>
      <c r="G374" s="6">
        <v>77.0</v>
      </c>
      <c r="H374" s="6">
        <v>80.0</v>
      </c>
      <c r="I374" s="6">
        <v>76.0</v>
      </c>
      <c r="J374" s="6">
        <v>73.0</v>
      </c>
      <c r="K374" s="6">
        <v>77.0</v>
      </c>
      <c r="L374" s="6">
        <v>66.0</v>
      </c>
      <c r="M374" s="6">
        <v>83.0</v>
      </c>
      <c r="N374" s="6">
        <v>81.0</v>
      </c>
      <c r="O374" s="6">
        <v>80.0</v>
      </c>
      <c r="P374" s="6">
        <v>81.0</v>
      </c>
      <c r="Q374" s="6">
        <v>83.0</v>
      </c>
      <c r="R374" s="6">
        <v>75.0</v>
      </c>
      <c r="S374" s="6">
        <v>78.0</v>
      </c>
      <c r="T374" s="6">
        <v>86.0</v>
      </c>
      <c r="U374" s="6">
        <v>87.0</v>
      </c>
      <c r="V374" s="6">
        <v>77.0</v>
      </c>
      <c r="W374" s="6">
        <v>79.0</v>
      </c>
      <c r="X374" s="6">
        <v>89.0</v>
      </c>
      <c r="AB374" s="6">
        <v>87.0</v>
      </c>
      <c r="AC374" s="6">
        <v>82.0</v>
      </c>
      <c r="AD374" s="6">
        <v>73.0</v>
      </c>
      <c r="AE374" s="6">
        <v>85.0</v>
      </c>
      <c r="AF374" s="6">
        <v>83.0</v>
      </c>
      <c r="AG374" s="6">
        <v>76.0</v>
      </c>
      <c r="AH374" s="6">
        <v>76.0</v>
      </c>
      <c r="AL374" s="6">
        <f t="shared" si="100"/>
        <v>5.185951086</v>
      </c>
      <c r="AN374" s="6"/>
      <c r="AO374" s="6"/>
      <c r="AQ374" s="6"/>
      <c r="AR374" s="6"/>
      <c r="AS374" s="6"/>
      <c r="AT374" s="6"/>
      <c r="AU374" s="6"/>
      <c r="AV374" s="6"/>
      <c r="AX374" s="6"/>
      <c r="AY374" s="6"/>
      <c r="AZ374" s="6"/>
      <c r="BA374" s="6"/>
      <c r="BB374" s="6"/>
      <c r="BC374" s="6"/>
      <c r="BE374" s="6">
        <f t="shared" si="101"/>
        <v>-4.555787867</v>
      </c>
    </row>
    <row r="375">
      <c r="B375" s="5" t="s">
        <v>3</v>
      </c>
      <c r="C375" s="4">
        <v>4.0</v>
      </c>
      <c r="D375" s="4">
        <v>3.0</v>
      </c>
      <c r="E375" s="4">
        <v>2.0</v>
      </c>
      <c r="F375" s="4">
        <v>4.0</v>
      </c>
      <c r="G375" s="4">
        <v>4.0</v>
      </c>
      <c r="H375" s="4">
        <v>2.0</v>
      </c>
      <c r="I375" s="4">
        <v>5.0</v>
      </c>
      <c r="J375" s="4">
        <v>4.0</v>
      </c>
      <c r="K375" s="4">
        <v>4.0</v>
      </c>
      <c r="L375" s="4">
        <v>2.0</v>
      </c>
      <c r="M375" s="4">
        <v>5.0</v>
      </c>
      <c r="N375" s="4">
        <v>5.0</v>
      </c>
      <c r="O375" s="4">
        <v>3.0</v>
      </c>
      <c r="P375" s="4">
        <v>2.0</v>
      </c>
      <c r="Q375" s="4">
        <v>2.0</v>
      </c>
      <c r="R375" s="4">
        <v>2.0</v>
      </c>
      <c r="S375" s="4">
        <v>2.0</v>
      </c>
      <c r="T375" s="4">
        <v>2.0</v>
      </c>
      <c r="U375" s="4">
        <v>5.0</v>
      </c>
      <c r="V375" s="4">
        <v>5.0</v>
      </c>
      <c r="W375" s="4">
        <v>5.0</v>
      </c>
      <c r="X375" s="4">
        <v>2.0</v>
      </c>
      <c r="AB375" s="4">
        <v>1.0</v>
      </c>
      <c r="AC375" s="4">
        <v>1.0</v>
      </c>
      <c r="AD375" s="4">
        <v>3.0</v>
      </c>
      <c r="AE375" s="4">
        <v>1.0</v>
      </c>
      <c r="AF375" s="4">
        <v>4.0</v>
      </c>
      <c r="AG375" s="4">
        <v>6.0</v>
      </c>
      <c r="AH375" s="4">
        <v>5.0</v>
      </c>
      <c r="AL375" s="6">
        <f t="shared" si="100"/>
        <v>1.485562705</v>
      </c>
      <c r="AN375" s="4">
        <f>7-G375</f>
        <v>3</v>
      </c>
      <c r="AO375" s="4">
        <f>7-J375</f>
        <v>3</v>
      </c>
      <c r="AQ375" s="4">
        <f t="shared" ref="AQ375:AS375" si="102">E375</f>
        <v>2</v>
      </c>
      <c r="AR375" s="4">
        <f t="shared" si="102"/>
        <v>4</v>
      </c>
      <c r="AS375" s="4">
        <f t="shared" si="102"/>
        <v>4</v>
      </c>
      <c r="AT375" s="4">
        <f>sum(C375,D375,E375,AN375,H375,I375,AO375)</f>
        <v>22</v>
      </c>
      <c r="AU375" s="4">
        <f>sum(P375:T375)</f>
        <v>10</v>
      </c>
      <c r="AV375" s="4">
        <f>sum(U375:X375)</f>
        <v>17</v>
      </c>
      <c r="AX375" s="29">
        <f t="shared" ref="AX375:BA375" si="103">AQ375-AQ153</f>
        <v>0</v>
      </c>
      <c r="AY375" s="29">
        <f t="shared" si="103"/>
        <v>0</v>
      </c>
      <c r="AZ375" s="29">
        <f t="shared" si="103"/>
        <v>0</v>
      </c>
      <c r="BA375" s="29">
        <f t="shared" si="103"/>
        <v>5</v>
      </c>
      <c r="BB375" s="4"/>
      <c r="BC375" s="4"/>
      <c r="BE375" s="6">
        <f t="shared" si="101"/>
        <v>-0.1723783288</v>
      </c>
    </row>
    <row r="376">
      <c r="C376" s="6">
        <v>50.0</v>
      </c>
      <c r="D376" s="6">
        <v>76.0</v>
      </c>
      <c r="E376" s="6">
        <v>63.0</v>
      </c>
      <c r="F376" s="6">
        <v>49.0</v>
      </c>
      <c r="G376" s="6">
        <v>55.0</v>
      </c>
      <c r="H376" s="6">
        <v>73.0</v>
      </c>
      <c r="I376" s="6">
        <v>28.0</v>
      </c>
      <c r="J376" s="6">
        <v>50.0</v>
      </c>
      <c r="K376" s="6">
        <v>49.0</v>
      </c>
      <c r="L376" s="6">
        <v>66.0</v>
      </c>
      <c r="M376" s="6">
        <v>67.0</v>
      </c>
      <c r="N376" s="6">
        <v>63.0</v>
      </c>
      <c r="O376" s="6">
        <v>66.0</v>
      </c>
      <c r="P376" s="6">
        <v>71.0</v>
      </c>
      <c r="Q376" s="6">
        <v>74.0</v>
      </c>
      <c r="R376" s="6">
        <v>74.0</v>
      </c>
      <c r="S376" s="6">
        <v>84.0</v>
      </c>
      <c r="T376" s="6">
        <v>86.0</v>
      </c>
      <c r="U376" s="6">
        <v>68.0</v>
      </c>
      <c r="V376" s="6">
        <v>66.0</v>
      </c>
      <c r="W376" s="6">
        <v>58.0</v>
      </c>
      <c r="X376" s="6">
        <v>62.0</v>
      </c>
      <c r="AB376" s="6">
        <v>86.0</v>
      </c>
      <c r="AC376" s="6">
        <v>89.0</v>
      </c>
      <c r="AD376" s="6">
        <v>45.0</v>
      </c>
      <c r="AE376" s="6">
        <v>80.0</v>
      </c>
      <c r="AF376" s="6">
        <v>49.0</v>
      </c>
      <c r="AG376" s="6">
        <v>61.0</v>
      </c>
      <c r="AH376" s="6">
        <v>68.0</v>
      </c>
      <c r="AL376" s="6">
        <f t="shared" si="100"/>
        <v>14.16510665</v>
      </c>
      <c r="AN376" s="6"/>
      <c r="AO376" s="6"/>
      <c r="AQ376" s="6"/>
      <c r="AR376" s="6"/>
      <c r="AS376" s="6"/>
      <c r="AT376" s="6"/>
      <c r="AU376" s="6"/>
      <c r="AV376" s="6"/>
      <c r="AX376" s="6"/>
      <c r="AY376" s="6"/>
      <c r="AZ376" s="6"/>
      <c r="BA376" s="6"/>
      <c r="BB376" s="6"/>
      <c r="BC376" s="6"/>
      <c r="BE376" s="6">
        <f t="shared" si="101"/>
        <v>-1.793738207</v>
      </c>
    </row>
    <row r="377">
      <c r="B377" s="5" t="s">
        <v>4</v>
      </c>
      <c r="C377" s="4">
        <v>5.0</v>
      </c>
      <c r="D377" s="4">
        <v>5.0</v>
      </c>
      <c r="E377" s="4">
        <v>4.0</v>
      </c>
      <c r="F377" s="4">
        <v>3.0</v>
      </c>
      <c r="G377" s="4">
        <v>5.0</v>
      </c>
      <c r="H377" s="4">
        <v>2.0</v>
      </c>
      <c r="I377" s="4">
        <v>3.0</v>
      </c>
      <c r="J377" s="4">
        <v>5.0</v>
      </c>
      <c r="K377" s="4">
        <v>3.0</v>
      </c>
      <c r="L377" s="4">
        <v>3.0</v>
      </c>
      <c r="M377" s="4">
        <v>5.0</v>
      </c>
      <c r="N377" s="4">
        <v>6.0</v>
      </c>
      <c r="O377" s="4">
        <v>5.0</v>
      </c>
      <c r="P377" s="4">
        <v>3.0</v>
      </c>
      <c r="Q377" s="4">
        <v>2.0</v>
      </c>
      <c r="R377" s="4">
        <v>3.0</v>
      </c>
      <c r="S377" s="4">
        <v>2.0</v>
      </c>
      <c r="T377" s="4">
        <v>4.0</v>
      </c>
      <c r="U377" s="4">
        <v>5.0</v>
      </c>
      <c r="V377" s="4">
        <v>5.0</v>
      </c>
      <c r="W377" s="4">
        <v>3.0</v>
      </c>
      <c r="X377" s="4">
        <v>4.0</v>
      </c>
      <c r="AB377" s="4">
        <v>1.0</v>
      </c>
      <c r="AC377" s="4">
        <v>1.0</v>
      </c>
      <c r="AD377" s="4">
        <v>1.0</v>
      </c>
      <c r="AE377" s="4">
        <v>1.0</v>
      </c>
      <c r="AF377" s="4">
        <v>2.0</v>
      </c>
      <c r="AG377" s="4">
        <v>2.0</v>
      </c>
      <c r="AH377" s="4">
        <v>2.0</v>
      </c>
      <c r="AL377" s="6">
        <f t="shared" si="100"/>
        <v>1.509412178</v>
      </c>
      <c r="AN377" s="4">
        <f>7-G377</f>
        <v>2</v>
      </c>
      <c r="AO377" s="4">
        <f>7-J377</f>
        <v>2</v>
      </c>
      <c r="AQ377" s="4">
        <f t="shared" ref="AQ377:AS377" si="104">E377</f>
        <v>4</v>
      </c>
      <c r="AR377" s="4">
        <f t="shared" si="104"/>
        <v>3</v>
      </c>
      <c r="AS377" s="4">
        <f t="shared" si="104"/>
        <v>5</v>
      </c>
      <c r="AT377" s="4">
        <f>sum(C377,D377,E377,AN377,H377,I377,AO377)</f>
        <v>23</v>
      </c>
      <c r="AU377" s="4">
        <f>sum(P377:T377)</f>
        <v>14</v>
      </c>
      <c r="AV377" s="4">
        <f>sum(U377:X377)</f>
        <v>17</v>
      </c>
      <c r="AX377" s="29">
        <f t="shared" ref="AX377:BA377" si="105">AQ377-AQ155</f>
        <v>2</v>
      </c>
      <c r="AY377" s="29">
        <f t="shared" si="105"/>
        <v>1</v>
      </c>
      <c r="AZ377" s="29">
        <f t="shared" si="105"/>
        <v>-1</v>
      </c>
      <c r="BA377" s="29">
        <f t="shared" si="105"/>
        <v>4</v>
      </c>
      <c r="BB377" s="4"/>
      <c r="BC377" s="4"/>
      <c r="BE377" s="6">
        <f t="shared" si="101"/>
        <v>-0.2147996431</v>
      </c>
    </row>
    <row r="378">
      <c r="C378" s="6">
        <v>78.0</v>
      </c>
      <c r="D378" s="6">
        <v>68.0</v>
      </c>
      <c r="E378" s="6">
        <v>43.0</v>
      </c>
      <c r="F378" s="6">
        <v>72.0</v>
      </c>
      <c r="G378" s="6">
        <v>77.0</v>
      </c>
      <c r="H378" s="6">
        <v>72.0</v>
      </c>
      <c r="I378" s="6">
        <v>74.0</v>
      </c>
      <c r="J378" s="6">
        <v>70.0</v>
      </c>
      <c r="K378" s="6">
        <v>74.0</v>
      </c>
      <c r="L378" s="6">
        <v>73.0</v>
      </c>
      <c r="M378" s="6">
        <v>75.0</v>
      </c>
      <c r="N378" s="6">
        <v>76.0</v>
      </c>
      <c r="O378" s="6">
        <v>65.0</v>
      </c>
      <c r="P378" s="6">
        <v>57.0</v>
      </c>
      <c r="Q378" s="6">
        <v>79.0</v>
      </c>
      <c r="R378" s="6">
        <v>75.0</v>
      </c>
      <c r="S378" s="6">
        <v>85.0</v>
      </c>
      <c r="T378" s="6">
        <v>45.0</v>
      </c>
      <c r="U378" s="6">
        <v>58.0</v>
      </c>
      <c r="V378" s="6">
        <v>48.0</v>
      </c>
      <c r="W378" s="6">
        <v>59.0</v>
      </c>
      <c r="X378" s="6">
        <v>54.0</v>
      </c>
      <c r="AB378" s="6">
        <v>86.0</v>
      </c>
      <c r="AC378" s="6">
        <v>85.0</v>
      </c>
      <c r="AD378" s="6">
        <v>86.0</v>
      </c>
      <c r="AE378" s="6">
        <v>85.0</v>
      </c>
      <c r="AF378" s="6">
        <v>67.0</v>
      </c>
      <c r="AG378" s="6">
        <v>72.0</v>
      </c>
      <c r="AH378" s="6">
        <v>71.0</v>
      </c>
      <c r="AL378" s="6">
        <f t="shared" si="100"/>
        <v>12.08151705</v>
      </c>
      <c r="AN378" s="6"/>
      <c r="AO378" s="6"/>
      <c r="AQ378" s="6"/>
      <c r="AR378" s="6"/>
      <c r="AS378" s="6"/>
      <c r="AT378" s="6"/>
      <c r="AU378" s="6"/>
      <c r="AV378" s="6"/>
      <c r="AX378" s="6"/>
      <c r="AY378" s="6"/>
      <c r="AZ378" s="6"/>
      <c r="BA378" s="6"/>
      <c r="BB378" s="6"/>
      <c r="BC378" s="6"/>
      <c r="BE378" s="6">
        <f t="shared" si="101"/>
        <v>0.3078928568</v>
      </c>
    </row>
    <row r="379">
      <c r="B379" s="5" t="s">
        <v>5</v>
      </c>
      <c r="C379" s="4">
        <v>7.0</v>
      </c>
      <c r="D379" s="4">
        <v>7.0</v>
      </c>
      <c r="E379" s="4">
        <v>5.0</v>
      </c>
      <c r="F379" s="4">
        <v>5.0</v>
      </c>
      <c r="G379" s="4">
        <v>2.0</v>
      </c>
      <c r="H379" s="4">
        <v>5.0</v>
      </c>
      <c r="I379" s="4">
        <v>7.0</v>
      </c>
      <c r="J379" s="4">
        <v>5.0</v>
      </c>
      <c r="K379" s="4">
        <v>5.0</v>
      </c>
      <c r="L379" s="4">
        <v>6.0</v>
      </c>
      <c r="M379" s="4">
        <v>5.0</v>
      </c>
      <c r="N379" s="4">
        <v>6.0</v>
      </c>
      <c r="O379" s="4">
        <v>6.0</v>
      </c>
      <c r="P379" s="4">
        <v>5.0</v>
      </c>
      <c r="Q379" s="4">
        <v>2.0</v>
      </c>
      <c r="R379" s="4">
        <v>6.0</v>
      </c>
      <c r="S379" s="4">
        <v>2.0</v>
      </c>
      <c r="T379" s="4">
        <v>6.0</v>
      </c>
      <c r="U379" s="4">
        <v>5.0</v>
      </c>
      <c r="V379" s="4">
        <v>6.0</v>
      </c>
      <c r="W379" s="4">
        <v>2.0</v>
      </c>
      <c r="X379" s="4">
        <v>4.0</v>
      </c>
      <c r="AB379" s="4">
        <v>4.0</v>
      </c>
      <c r="AC379" s="4">
        <v>2.0</v>
      </c>
      <c r="AD379" s="4">
        <v>4.0</v>
      </c>
      <c r="AE379" s="4">
        <v>4.0</v>
      </c>
      <c r="AF379" s="4">
        <v>6.0</v>
      </c>
      <c r="AG379" s="4">
        <v>6.0</v>
      </c>
      <c r="AH379" s="4">
        <v>4.0</v>
      </c>
      <c r="AL379" s="6">
        <f t="shared" si="100"/>
        <v>1.567056165</v>
      </c>
      <c r="AN379" s="4">
        <f>7-G379</f>
        <v>5</v>
      </c>
      <c r="AO379" s="4">
        <f>7-J379</f>
        <v>2</v>
      </c>
      <c r="AQ379" s="4">
        <f t="shared" ref="AQ379:AS379" si="106">E379</f>
        <v>5</v>
      </c>
      <c r="AR379" s="4">
        <f t="shared" si="106"/>
        <v>5</v>
      </c>
      <c r="AS379" s="4">
        <f t="shared" si="106"/>
        <v>2</v>
      </c>
      <c r="AT379" s="4">
        <f>sum(C379,D379,E379,AN379,H379,I379,AO379)</f>
        <v>38</v>
      </c>
      <c r="AU379" s="4">
        <f>sum(P379:T379)</f>
        <v>21</v>
      </c>
      <c r="AV379" s="4">
        <f>sum(U379:X379)</f>
        <v>17</v>
      </c>
      <c r="AX379" s="29">
        <f t="shared" ref="AX379:BA379" si="107">AQ379-AQ157</f>
        <v>0</v>
      </c>
      <c r="AY379" s="29">
        <f t="shared" si="107"/>
        <v>2</v>
      </c>
      <c r="AZ379" s="29">
        <f t="shared" si="107"/>
        <v>-1</v>
      </c>
      <c r="BA379" s="29">
        <f t="shared" si="107"/>
        <v>4</v>
      </c>
      <c r="BB379" s="4"/>
      <c r="BC379" s="4"/>
      <c r="BE379" s="6">
        <f t="shared" si="101"/>
        <v>0.0181808382</v>
      </c>
    </row>
    <row r="380">
      <c r="C380" s="6">
        <v>73.0</v>
      </c>
      <c r="D380" s="6">
        <v>86.0</v>
      </c>
      <c r="E380" s="6">
        <v>46.0</v>
      </c>
      <c r="F380" s="6">
        <v>42.0</v>
      </c>
      <c r="G380" s="6">
        <v>72.0</v>
      </c>
      <c r="H380" s="6">
        <v>44.0</v>
      </c>
      <c r="I380" s="6">
        <v>80.0</v>
      </c>
      <c r="J380" s="6">
        <v>45.0</v>
      </c>
      <c r="K380" s="6">
        <v>66.0</v>
      </c>
      <c r="L380" s="6">
        <v>67.0</v>
      </c>
      <c r="M380" s="6">
        <v>44.0</v>
      </c>
      <c r="N380" s="6">
        <v>25.0</v>
      </c>
      <c r="O380" s="6">
        <v>44.0</v>
      </c>
      <c r="P380" s="6">
        <v>42.0</v>
      </c>
      <c r="Q380" s="6">
        <v>67.0</v>
      </c>
      <c r="R380" s="6">
        <v>39.0</v>
      </c>
      <c r="S380" s="6">
        <v>42.0</v>
      </c>
      <c r="T380" s="6">
        <v>86.0</v>
      </c>
      <c r="U380" s="6">
        <v>53.0</v>
      </c>
      <c r="V380" s="6">
        <v>82.0</v>
      </c>
      <c r="W380" s="6">
        <v>85.0</v>
      </c>
      <c r="X380" s="6">
        <v>50.0</v>
      </c>
      <c r="AB380" s="6" t="s">
        <v>151</v>
      </c>
      <c r="AC380" s="6" t="s">
        <v>151</v>
      </c>
      <c r="AD380" s="6" t="s">
        <v>151</v>
      </c>
      <c r="AE380" s="6" t="s">
        <v>151</v>
      </c>
      <c r="AF380" s="6" t="s">
        <v>151</v>
      </c>
      <c r="AG380" s="6" t="s">
        <v>151</v>
      </c>
      <c r="AH380" s="6" t="s">
        <v>151</v>
      </c>
      <c r="AL380" s="6">
        <f t="shared" si="100"/>
        <v>18.53089149</v>
      </c>
      <c r="AN380" s="6"/>
      <c r="AO380" s="6"/>
      <c r="AQ380" s="6"/>
      <c r="AR380" s="6"/>
      <c r="AS380" s="6"/>
      <c r="AT380" s="6"/>
      <c r="AU380" s="6"/>
      <c r="AV380" s="6"/>
      <c r="AX380" s="6"/>
      <c r="AY380" s="6"/>
      <c r="AZ380" s="6"/>
      <c r="BA380" s="6"/>
      <c r="BB380" s="6"/>
      <c r="BC380" s="6"/>
      <c r="BE380" s="6">
        <f t="shared" si="101"/>
        <v>-0.4946940838</v>
      </c>
    </row>
    <row r="381">
      <c r="B381" s="5" t="s">
        <v>6</v>
      </c>
      <c r="C381" s="4">
        <v>6.0</v>
      </c>
      <c r="D381" s="4">
        <v>6.0</v>
      </c>
      <c r="E381" s="4">
        <v>5.0</v>
      </c>
      <c r="F381" s="4">
        <v>4.0</v>
      </c>
      <c r="G381" s="4">
        <v>3.0</v>
      </c>
      <c r="H381" s="4">
        <v>5.0</v>
      </c>
      <c r="I381" s="4">
        <v>5.0</v>
      </c>
      <c r="J381" s="4">
        <v>2.0</v>
      </c>
      <c r="K381" s="4">
        <v>5.0</v>
      </c>
      <c r="L381" s="4">
        <v>3.0</v>
      </c>
      <c r="M381" s="4">
        <v>3.0</v>
      </c>
      <c r="N381" s="4">
        <v>5.0</v>
      </c>
      <c r="O381" s="4">
        <v>5.0</v>
      </c>
      <c r="P381" s="4">
        <v>2.0</v>
      </c>
      <c r="Q381" s="4">
        <v>3.0</v>
      </c>
      <c r="R381" s="4">
        <v>2.0</v>
      </c>
      <c r="S381" s="4">
        <v>3.0</v>
      </c>
      <c r="T381" s="4">
        <v>2.0</v>
      </c>
      <c r="U381" s="4">
        <v>3.0</v>
      </c>
      <c r="V381" s="4">
        <v>5.0</v>
      </c>
      <c r="W381" s="4">
        <v>2.0</v>
      </c>
      <c r="X381" s="4">
        <v>5.0</v>
      </c>
      <c r="AB381" s="4">
        <v>4.0</v>
      </c>
      <c r="AC381" s="4">
        <v>4.0</v>
      </c>
      <c r="AD381" s="4">
        <v>5.0</v>
      </c>
      <c r="AE381" s="4">
        <v>5.0</v>
      </c>
      <c r="AF381" s="4">
        <v>5.0</v>
      </c>
      <c r="AG381" s="4">
        <v>5.0</v>
      </c>
      <c r="AH381" s="4">
        <v>5.0</v>
      </c>
      <c r="AL381" s="6">
        <f t="shared" si="100"/>
        <v>1.295121578</v>
      </c>
      <c r="AN381" s="4">
        <f>7-G381</f>
        <v>4</v>
      </c>
      <c r="AO381" s="4">
        <f>7-J381</f>
        <v>5</v>
      </c>
      <c r="AQ381" s="4">
        <f t="shared" ref="AQ381:AS381" si="108">E381</f>
        <v>5</v>
      </c>
      <c r="AR381" s="4">
        <f t="shared" si="108"/>
        <v>4</v>
      </c>
      <c r="AS381" s="4">
        <f t="shared" si="108"/>
        <v>3</v>
      </c>
      <c r="AT381" s="4">
        <f>sum(C381,D381,E381,AN381,H381,I381,AO381)</f>
        <v>36</v>
      </c>
      <c r="AU381" s="4">
        <f>sum(P381:T381)</f>
        <v>12</v>
      </c>
      <c r="AV381" s="4">
        <f>sum(U381:X381)</f>
        <v>15</v>
      </c>
      <c r="AX381" s="29">
        <f t="shared" ref="AX381:BA381" si="109">AQ381-AQ159</f>
        <v>-1</v>
      </c>
      <c r="AY381" s="29">
        <f t="shared" si="109"/>
        <v>2</v>
      </c>
      <c r="AZ381" s="29">
        <f t="shared" si="109"/>
        <v>1</v>
      </c>
      <c r="BA381" s="29">
        <f t="shared" si="109"/>
        <v>0</v>
      </c>
      <c r="BB381" s="4"/>
      <c r="BC381" s="4"/>
      <c r="BE381" s="6">
        <f t="shared" si="101"/>
        <v>-0.2044678569</v>
      </c>
    </row>
    <row r="382">
      <c r="C382" s="6">
        <v>72.0</v>
      </c>
      <c r="D382" s="6">
        <v>62.0</v>
      </c>
      <c r="E382" s="6">
        <v>63.0</v>
      </c>
      <c r="F382" s="6">
        <v>63.0</v>
      </c>
      <c r="G382" s="6">
        <v>67.0</v>
      </c>
      <c r="H382" s="6">
        <v>67.0</v>
      </c>
      <c r="I382" s="6">
        <v>72.0</v>
      </c>
      <c r="J382" s="6">
        <v>68.0</v>
      </c>
      <c r="K382" s="6">
        <v>46.0</v>
      </c>
      <c r="L382" s="6">
        <v>63.0</v>
      </c>
      <c r="M382" s="6">
        <v>49.0</v>
      </c>
      <c r="N382" s="6">
        <v>60.0</v>
      </c>
      <c r="O382" s="6">
        <v>67.0</v>
      </c>
      <c r="P382" s="6">
        <v>71.0</v>
      </c>
      <c r="Q382" s="6">
        <v>71.0</v>
      </c>
      <c r="R382" s="6">
        <v>75.0</v>
      </c>
      <c r="S382" s="6">
        <v>67.0</v>
      </c>
      <c r="T382" s="6">
        <v>72.0</v>
      </c>
      <c r="U382" s="6">
        <v>71.0</v>
      </c>
      <c r="V382" s="6">
        <v>71.0</v>
      </c>
      <c r="W382" s="6">
        <v>74.0</v>
      </c>
      <c r="X382" s="6">
        <v>65.0</v>
      </c>
      <c r="AB382" s="6" t="s">
        <v>151</v>
      </c>
      <c r="AC382" s="6" t="s">
        <v>151</v>
      </c>
      <c r="AD382" s="6" t="s">
        <v>151</v>
      </c>
      <c r="AE382" s="6" t="s">
        <v>151</v>
      </c>
      <c r="AF382" s="6" t="s">
        <v>151</v>
      </c>
      <c r="AG382" s="6" t="s">
        <v>151</v>
      </c>
      <c r="AH382" s="6" t="s">
        <v>151</v>
      </c>
      <c r="AL382" s="6">
        <f t="shared" si="100"/>
        <v>7.333136558</v>
      </c>
      <c r="AM382" s="24"/>
      <c r="AN382" s="6"/>
      <c r="AO382" s="6"/>
      <c r="AQ382" s="6"/>
      <c r="AR382" s="6"/>
      <c r="AS382" s="6"/>
      <c r="AT382" s="6"/>
      <c r="AU382" s="6"/>
      <c r="AV382" s="6"/>
      <c r="AW382" s="24"/>
      <c r="AX382" s="6"/>
      <c r="AY382" s="6"/>
      <c r="AZ382" s="6"/>
      <c r="BA382" s="6"/>
      <c r="BB382" s="32"/>
      <c r="BC382" s="32"/>
      <c r="BD382" s="24"/>
      <c r="BE382" s="6">
        <f t="shared" si="101"/>
        <v>-2.382037933</v>
      </c>
      <c r="BG382" s="24"/>
      <c r="BH382" s="24"/>
      <c r="BI382" s="24"/>
      <c r="BJ382" s="24"/>
      <c r="BK382" s="24"/>
      <c r="BL382" s="24"/>
      <c r="BN382" s="24"/>
      <c r="BO382" s="24"/>
      <c r="BP382" s="24"/>
      <c r="BQ382" s="24"/>
      <c r="BR382" s="24"/>
      <c r="BS382" s="24"/>
      <c r="BT382" s="24"/>
    </row>
    <row r="383">
      <c r="B383" s="5" t="s">
        <v>7</v>
      </c>
      <c r="C383" s="4">
        <v>6.0</v>
      </c>
      <c r="D383" s="4">
        <v>6.0</v>
      </c>
      <c r="E383" s="4">
        <v>5.0</v>
      </c>
      <c r="F383" s="4">
        <v>4.0</v>
      </c>
      <c r="G383" s="4">
        <v>2.0</v>
      </c>
      <c r="H383" s="4">
        <v>2.0</v>
      </c>
      <c r="I383" s="4">
        <v>5.0</v>
      </c>
      <c r="J383" s="4">
        <v>5.0</v>
      </c>
      <c r="K383" s="4">
        <v>3.0</v>
      </c>
      <c r="L383" s="4">
        <v>5.0</v>
      </c>
      <c r="M383" s="4">
        <v>3.0</v>
      </c>
      <c r="N383" s="4">
        <v>3.0</v>
      </c>
      <c r="O383" s="4">
        <v>5.0</v>
      </c>
      <c r="P383" s="4">
        <v>2.0</v>
      </c>
      <c r="Q383" s="4">
        <v>2.0</v>
      </c>
      <c r="R383" s="4">
        <v>4.0</v>
      </c>
      <c r="S383" s="4">
        <v>3.0</v>
      </c>
      <c r="T383" s="4">
        <v>5.0</v>
      </c>
      <c r="U383" s="4">
        <v>1.0</v>
      </c>
      <c r="V383" s="4">
        <v>5.0</v>
      </c>
      <c r="W383" s="4">
        <v>4.0</v>
      </c>
      <c r="X383" s="4">
        <v>5.0</v>
      </c>
      <c r="AB383" s="4">
        <v>1.0</v>
      </c>
      <c r="AC383" s="4">
        <v>1.0</v>
      </c>
      <c r="AD383" s="4">
        <v>2.0</v>
      </c>
      <c r="AE383" s="4">
        <v>2.0</v>
      </c>
      <c r="AF383" s="4">
        <v>3.0</v>
      </c>
      <c r="AG383" s="4">
        <v>4.0</v>
      </c>
      <c r="AH383" s="4">
        <v>2.0</v>
      </c>
      <c r="AL383" s="6">
        <f t="shared" si="100"/>
        <v>1.548875327</v>
      </c>
      <c r="AM383" s="24"/>
      <c r="AN383" s="4">
        <f>7-G383</f>
        <v>5</v>
      </c>
      <c r="AO383" s="4">
        <f>7-J383</f>
        <v>2</v>
      </c>
      <c r="AQ383" s="4">
        <f t="shared" ref="AQ383:AS383" si="110">E383</f>
        <v>5</v>
      </c>
      <c r="AR383" s="4">
        <f t="shared" si="110"/>
        <v>4</v>
      </c>
      <c r="AS383" s="4">
        <f t="shared" si="110"/>
        <v>2</v>
      </c>
      <c r="AT383" s="4">
        <f>sum(C383,D383,E383,AN383,H383,I383,AO383)</f>
        <v>31</v>
      </c>
      <c r="AU383" s="4">
        <f>sum(P383:T383)</f>
        <v>16</v>
      </c>
      <c r="AV383" s="4">
        <f>sum(U383:X383)</f>
        <v>15</v>
      </c>
      <c r="AW383" s="24"/>
      <c r="AX383" s="29">
        <f t="shared" ref="AX383:BA383" si="111">AQ383-AQ161</f>
        <v>0</v>
      </c>
      <c r="AY383" s="29">
        <f t="shared" si="111"/>
        <v>-1</v>
      </c>
      <c r="AZ383" s="29">
        <f t="shared" si="111"/>
        <v>0</v>
      </c>
      <c r="BA383" s="29">
        <f t="shared" si="111"/>
        <v>-4</v>
      </c>
      <c r="BB383" s="4"/>
      <c r="BC383" s="4"/>
      <c r="BD383" s="24"/>
      <c r="BE383" s="6">
        <f t="shared" si="101"/>
        <v>-0.2562896765</v>
      </c>
      <c r="BG383" s="24"/>
      <c r="BH383" s="24"/>
      <c r="BI383" s="24"/>
      <c r="BJ383" s="24"/>
      <c r="BK383" s="24"/>
      <c r="BL383" s="24"/>
      <c r="BN383" s="24"/>
      <c r="BO383" s="24"/>
      <c r="BP383" s="24"/>
      <c r="BQ383" s="24"/>
      <c r="BR383" s="24"/>
      <c r="BS383" s="24"/>
      <c r="BT383" s="24"/>
    </row>
    <row r="384">
      <c r="C384" s="31">
        <v>90.0</v>
      </c>
      <c r="D384" s="31">
        <v>84.0</v>
      </c>
      <c r="E384" s="31">
        <v>64.5</v>
      </c>
      <c r="F384" s="31">
        <v>45.0</v>
      </c>
      <c r="G384" s="31">
        <v>90.0</v>
      </c>
      <c r="H384" s="31">
        <v>82.5</v>
      </c>
      <c r="I384" s="31">
        <v>66.0</v>
      </c>
      <c r="J384" s="31">
        <v>67.5</v>
      </c>
      <c r="K384" s="31">
        <v>46.5</v>
      </c>
      <c r="L384" s="31">
        <v>48.0</v>
      </c>
      <c r="M384" s="31">
        <v>75.0</v>
      </c>
      <c r="N384" s="31">
        <v>64.5</v>
      </c>
      <c r="O384" s="31">
        <v>66.0</v>
      </c>
      <c r="P384" s="31">
        <v>73.5</v>
      </c>
      <c r="Q384" s="31">
        <v>66.0</v>
      </c>
      <c r="R384" s="31">
        <v>67.5</v>
      </c>
      <c r="S384" s="31">
        <v>78.0</v>
      </c>
      <c r="T384" s="31">
        <v>48.0</v>
      </c>
      <c r="U384" s="31">
        <v>90.0</v>
      </c>
      <c r="V384" s="31">
        <v>52.5</v>
      </c>
      <c r="W384" s="31">
        <v>69.0</v>
      </c>
      <c r="X384" s="31">
        <v>52.5</v>
      </c>
      <c r="Y384" s="24"/>
      <c r="Z384" s="24"/>
      <c r="AA384" s="24"/>
      <c r="AB384" s="31">
        <v>90.0</v>
      </c>
      <c r="AC384" s="31">
        <v>90.0</v>
      </c>
      <c r="AD384" s="31">
        <v>90.0</v>
      </c>
      <c r="AE384" s="31">
        <v>76.5</v>
      </c>
      <c r="AF384" s="31">
        <v>57.0</v>
      </c>
      <c r="AG384" s="31">
        <v>72.0</v>
      </c>
      <c r="AH384" s="31">
        <v>51.0</v>
      </c>
      <c r="AL384" s="6">
        <f t="shared" si="100"/>
        <v>14.9994458</v>
      </c>
      <c r="AM384" s="24"/>
      <c r="AN384" s="6"/>
      <c r="AO384" s="6"/>
      <c r="AQ384" s="6"/>
      <c r="AR384" s="6"/>
      <c r="AS384" s="6"/>
      <c r="AT384" s="6"/>
      <c r="AU384" s="6"/>
      <c r="AV384" s="6"/>
      <c r="AW384" s="24"/>
      <c r="AX384" s="6"/>
      <c r="AY384" s="6"/>
      <c r="AZ384" s="6"/>
      <c r="BA384" s="6"/>
      <c r="BB384" s="31"/>
      <c r="BC384" s="31"/>
      <c r="BD384" s="24"/>
      <c r="BE384" s="6">
        <f t="shared" si="101"/>
        <v>-3.165286849</v>
      </c>
      <c r="BG384" s="24"/>
      <c r="BH384" s="24"/>
      <c r="BI384" s="24"/>
      <c r="BJ384" s="24"/>
      <c r="BK384" s="24"/>
      <c r="BL384" s="24"/>
      <c r="BN384" s="24"/>
      <c r="BO384" s="24"/>
      <c r="BP384" s="24"/>
      <c r="BQ384" s="24"/>
      <c r="BR384" s="24"/>
      <c r="BS384" s="24"/>
      <c r="BT384" s="24"/>
    </row>
    <row r="385">
      <c r="B385" s="5" t="s">
        <v>8</v>
      </c>
      <c r="C385" s="4">
        <v>6.0</v>
      </c>
      <c r="D385" s="4">
        <v>4.0</v>
      </c>
      <c r="E385" s="4">
        <v>2.0</v>
      </c>
      <c r="F385" s="4">
        <v>2.0</v>
      </c>
      <c r="G385" s="4">
        <v>2.0</v>
      </c>
      <c r="H385" s="4">
        <v>5.0</v>
      </c>
      <c r="I385" s="4">
        <v>5.0</v>
      </c>
      <c r="J385" s="4">
        <v>2.0</v>
      </c>
      <c r="K385" s="4">
        <v>4.0</v>
      </c>
      <c r="L385" s="4">
        <v>6.0</v>
      </c>
      <c r="M385" s="4">
        <v>3.0</v>
      </c>
      <c r="N385" s="4">
        <v>4.0</v>
      </c>
      <c r="O385" s="4">
        <v>3.0</v>
      </c>
      <c r="P385" s="4">
        <v>2.0</v>
      </c>
      <c r="Q385" s="4">
        <v>2.0</v>
      </c>
      <c r="R385" s="4">
        <v>2.0</v>
      </c>
      <c r="S385" s="4">
        <v>2.0</v>
      </c>
      <c r="T385" s="4">
        <v>5.0</v>
      </c>
      <c r="U385" s="4">
        <v>5.0</v>
      </c>
      <c r="V385" s="4">
        <v>6.0</v>
      </c>
      <c r="W385" s="4">
        <v>5.0</v>
      </c>
      <c r="X385" s="4">
        <v>3.0</v>
      </c>
      <c r="AB385" s="4">
        <v>2.0</v>
      </c>
      <c r="AC385" s="4">
        <v>2.0</v>
      </c>
      <c r="AD385" s="4">
        <v>3.0</v>
      </c>
      <c r="AE385" s="4">
        <v>2.0</v>
      </c>
      <c r="AF385" s="4">
        <v>3.0</v>
      </c>
      <c r="AG385" s="4">
        <v>4.0</v>
      </c>
      <c r="AH385" s="4">
        <v>3.0</v>
      </c>
      <c r="AL385" s="6">
        <f t="shared" si="100"/>
        <v>1.427216106</v>
      </c>
      <c r="AM385" s="24"/>
      <c r="AN385" s="4">
        <f>7-G385</f>
        <v>5</v>
      </c>
      <c r="AO385" s="4">
        <f>7-J385</f>
        <v>5</v>
      </c>
      <c r="AQ385" s="4">
        <f t="shared" ref="AQ385:AS385" si="112">E385</f>
        <v>2</v>
      </c>
      <c r="AR385" s="4">
        <f t="shared" si="112"/>
        <v>2</v>
      </c>
      <c r="AS385" s="4">
        <f t="shared" si="112"/>
        <v>2</v>
      </c>
      <c r="AT385" s="4">
        <f>sum(C385,D385,E385,AN385,H385,I385,AO385)</f>
        <v>32</v>
      </c>
      <c r="AU385" s="4">
        <f>sum(P385:T385)</f>
        <v>13</v>
      </c>
      <c r="AV385" s="4">
        <f>sum(U385:X385)</f>
        <v>19</v>
      </c>
      <c r="AW385" s="24"/>
      <c r="AX385" s="29">
        <f t="shared" ref="AX385:BA385" si="113">AQ385-AQ163</f>
        <v>-3</v>
      </c>
      <c r="AY385" s="29">
        <f t="shared" si="113"/>
        <v>-2</v>
      </c>
      <c r="AZ385" s="29">
        <f t="shared" si="113"/>
        <v>-1</v>
      </c>
      <c r="BA385" s="29">
        <f t="shared" si="113"/>
        <v>6</v>
      </c>
      <c r="BB385" s="4"/>
      <c r="BC385" s="4"/>
      <c r="BD385" s="24"/>
      <c r="BE385" s="6">
        <f t="shared" si="101"/>
        <v>0.1359037173</v>
      </c>
      <c r="BG385" s="24"/>
      <c r="BH385" s="24"/>
      <c r="BI385" s="24"/>
      <c r="BJ385" s="24"/>
      <c r="BK385" s="24"/>
      <c r="BL385" s="24"/>
      <c r="BN385" s="24"/>
      <c r="BO385" s="24"/>
      <c r="BP385" s="24"/>
      <c r="BQ385" s="24"/>
      <c r="BR385" s="24"/>
      <c r="BS385" s="24"/>
      <c r="BT385" s="24"/>
    </row>
    <row r="386">
      <c r="C386" s="31">
        <v>79.5</v>
      </c>
      <c r="D386" s="31">
        <v>7.5</v>
      </c>
      <c r="E386" s="31">
        <v>4.5</v>
      </c>
      <c r="F386" s="31">
        <v>48.0</v>
      </c>
      <c r="G386" s="31">
        <v>18.0</v>
      </c>
      <c r="H386" s="31">
        <v>24.0</v>
      </c>
      <c r="I386" s="31">
        <v>15.0</v>
      </c>
      <c r="J386" s="31">
        <v>16.5</v>
      </c>
      <c r="K386" s="31">
        <v>18.0</v>
      </c>
      <c r="L386" s="31">
        <v>57.0</v>
      </c>
      <c r="M386" s="31">
        <v>12.0</v>
      </c>
      <c r="N386" s="31">
        <v>4.5</v>
      </c>
      <c r="O386" s="31">
        <v>10.5</v>
      </c>
      <c r="P386" s="31">
        <v>51.0</v>
      </c>
      <c r="Q386" s="31">
        <v>69.0</v>
      </c>
      <c r="R386" s="31">
        <v>70.5</v>
      </c>
      <c r="S386" s="31">
        <v>55.5</v>
      </c>
      <c r="T386" s="31">
        <v>15.0</v>
      </c>
      <c r="U386" s="31">
        <v>12.0</v>
      </c>
      <c r="V386" s="31">
        <v>15.0</v>
      </c>
      <c r="W386" s="31">
        <v>18.0</v>
      </c>
      <c r="X386" s="31">
        <v>10.5</v>
      </c>
      <c r="Y386" s="24"/>
      <c r="Z386" s="24"/>
      <c r="AA386" s="24"/>
      <c r="AB386" s="31">
        <v>7.5</v>
      </c>
      <c r="AC386" s="31">
        <v>18.0</v>
      </c>
      <c r="AD386" s="31">
        <v>7.5</v>
      </c>
      <c r="AE386" s="31">
        <v>4.5</v>
      </c>
      <c r="AF386" s="31">
        <v>7.5</v>
      </c>
      <c r="AG386" s="31">
        <v>9.0</v>
      </c>
      <c r="AH386" s="31">
        <v>15.0</v>
      </c>
      <c r="AL386" s="6">
        <f t="shared" si="100"/>
        <v>22.58677847</v>
      </c>
      <c r="AM386" s="24"/>
      <c r="AN386" s="6"/>
      <c r="AO386" s="6"/>
      <c r="AQ386" s="6"/>
      <c r="AR386" s="6"/>
      <c r="AS386" s="6"/>
      <c r="AT386" s="6"/>
      <c r="AU386" s="6"/>
      <c r="AV386" s="6"/>
      <c r="AW386" s="24"/>
      <c r="AX386" s="6"/>
      <c r="AY386" s="6"/>
      <c r="AZ386" s="6"/>
      <c r="BA386" s="6"/>
      <c r="BB386" s="31"/>
      <c r="BC386" s="31"/>
      <c r="BD386" s="24"/>
      <c r="BE386" s="6">
        <f t="shared" si="101"/>
        <v>-0.6393136412</v>
      </c>
      <c r="BG386" s="24"/>
      <c r="BH386" s="24"/>
      <c r="BI386" s="24"/>
      <c r="BJ386" s="24"/>
      <c r="BK386" s="24"/>
      <c r="BL386" s="24"/>
      <c r="BN386" s="24"/>
      <c r="BO386" s="24"/>
      <c r="BP386" s="24"/>
      <c r="BQ386" s="24"/>
      <c r="BR386" s="24"/>
      <c r="BS386" s="24"/>
      <c r="BT386" s="24"/>
    </row>
    <row r="387">
      <c r="B387" s="5" t="s">
        <v>9</v>
      </c>
      <c r="C387" s="4">
        <v>5.0</v>
      </c>
      <c r="D387" s="4">
        <v>1.0</v>
      </c>
      <c r="E387" s="4">
        <v>3.0</v>
      </c>
      <c r="F387" s="4">
        <v>1.0</v>
      </c>
      <c r="G387" s="4">
        <v>5.0</v>
      </c>
      <c r="H387" s="4">
        <v>2.0</v>
      </c>
      <c r="I387" s="4">
        <v>6.0</v>
      </c>
      <c r="J387" s="4">
        <v>3.0</v>
      </c>
      <c r="K387" s="4">
        <v>1.0</v>
      </c>
      <c r="L387" s="4">
        <v>2.0</v>
      </c>
      <c r="M387" s="4">
        <v>3.0</v>
      </c>
      <c r="N387" s="4">
        <v>1.0</v>
      </c>
      <c r="O387" s="4">
        <v>6.0</v>
      </c>
      <c r="P387" s="4">
        <v>1.0</v>
      </c>
      <c r="Q387" s="4">
        <v>1.0</v>
      </c>
      <c r="R387" s="4">
        <v>1.0</v>
      </c>
      <c r="S387" s="4">
        <v>2.0</v>
      </c>
      <c r="T387" s="4">
        <v>6.0</v>
      </c>
      <c r="U387" s="4">
        <v>3.0</v>
      </c>
      <c r="V387" s="4">
        <v>1.0</v>
      </c>
      <c r="W387" s="4">
        <v>1.0</v>
      </c>
      <c r="X387" s="4">
        <v>3.0</v>
      </c>
      <c r="AB387" s="4">
        <v>1.0</v>
      </c>
      <c r="AC387" s="4">
        <v>1.0</v>
      </c>
      <c r="AD387" s="4">
        <v>1.0</v>
      </c>
      <c r="AE387" s="4">
        <v>1.0</v>
      </c>
      <c r="AF387" s="4">
        <v>2.0</v>
      </c>
      <c r="AG387" s="4">
        <v>1.0</v>
      </c>
      <c r="AH387" s="4">
        <v>2.0</v>
      </c>
      <c r="AL387" s="6">
        <f t="shared" si="100"/>
        <v>1.7134645</v>
      </c>
      <c r="AM387" s="24"/>
      <c r="AN387" s="4">
        <f>7-G387</f>
        <v>2</v>
      </c>
      <c r="AO387" s="4">
        <f>7-J387</f>
        <v>4</v>
      </c>
      <c r="AQ387" s="4">
        <f t="shared" ref="AQ387:AS387" si="114">E387</f>
        <v>3</v>
      </c>
      <c r="AR387" s="4">
        <f t="shared" si="114"/>
        <v>1</v>
      </c>
      <c r="AS387" s="4">
        <f t="shared" si="114"/>
        <v>5</v>
      </c>
      <c r="AT387" s="4">
        <f>sum(C387,D387,E387,AN387,H387,I387,AO387)</f>
        <v>23</v>
      </c>
      <c r="AU387" s="4">
        <f>sum(P387:T387)</f>
        <v>11</v>
      </c>
      <c r="AV387" s="4">
        <f>sum(U387:X387)</f>
        <v>8</v>
      </c>
      <c r="AW387" s="24"/>
      <c r="AX387" s="29">
        <f t="shared" ref="AX387:BA387" si="115">AQ387-AQ165</f>
        <v>1</v>
      </c>
      <c r="AY387" s="29">
        <f t="shared" si="115"/>
        <v>0</v>
      </c>
      <c r="AZ387" s="29">
        <f t="shared" si="115"/>
        <v>-2</v>
      </c>
      <c r="BA387" s="29">
        <f t="shared" si="115"/>
        <v>2</v>
      </c>
      <c r="BB387" s="4"/>
      <c r="BC387" s="4"/>
      <c r="BD387" s="24"/>
      <c r="BE387" s="6">
        <f t="shared" si="101"/>
        <v>-0.1593379894</v>
      </c>
      <c r="BG387" s="24"/>
      <c r="BH387" s="24"/>
      <c r="BI387" s="24"/>
      <c r="BJ387" s="24"/>
      <c r="BK387" s="24"/>
      <c r="BL387" s="24"/>
      <c r="BN387" s="24"/>
      <c r="BO387" s="24"/>
      <c r="BP387" s="24"/>
      <c r="BQ387" s="24"/>
      <c r="BR387" s="24"/>
      <c r="BS387" s="24"/>
      <c r="BT387" s="24"/>
    </row>
    <row r="388">
      <c r="C388" s="31">
        <v>7.5</v>
      </c>
      <c r="D388" s="31">
        <v>3.0</v>
      </c>
      <c r="E388" s="31">
        <v>52.5</v>
      </c>
      <c r="F388" s="31">
        <v>60.0</v>
      </c>
      <c r="G388" s="31">
        <v>43.5</v>
      </c>
      <c r="H388" s="31">
        <v>39.0</v>
      </c>
      <c r="I388" s="31">
        <v>45.0</v>
      </c>
      <c r="J388" s="31">
        <v>51.0</v>
      </c>
      <c r="K388" s="31">
        <v>66.0</v>
      </c>
      <c r="L388" s="31">
        <v>51.0</v>
      </c>
      <c r="M388" s="31">
        <v>57.0</v>
      </c>
      <c r="N388" s="31">
        <v>61.5</v>
      </c>
      <c r="O388" s="31">
        <v>63.0</v>
      </c>
      <c r="P388" s="31">
        <v>66.0</v>
      </c>
      <c r="Q388" s="31">
        <v>57.0</v>
      </c>
      <c r="R388" s="31">
        <v>70.5</v>
      </c>
      <c r="S388" s="31">
        <v>70.5</v>
      </c>
      <c r="T388" s="31">
        <v>69.0</v>
      </c>
      <c r="U388" s="31">
        <v>57.0</v>
      </c>
      <c r="V388" s="31">
        <v>64.5</v>
      </c>
      <c r="W388" s="31">
        <v>78.0</v>
      </c>
      <c r="X388" s="31">
        <v>69.0</v>
      </c>
      <c r="AB388" s="6">
        <v>50.0</v>
      </c>
      <c r="AC388" s="6">
        <v>52.0</v>
      </c>
      <c r="AD388" s="6">
        <v>55.0</v>
      </c>
      <c r="AE388" s="6">
        <v>51.0</v>
      </c>
      <c r="AF388" s="6">
        <v>51.0</v>
      </c>
      <c r="AG388" s="6">
        <v>55.0</v>
      </c>
      <c r="AH388" s="6">
        <v>49.0</v>
      </c>
      <c r="AL388" s="6">
        <f t="shared" si="100"/>
        <v>16.29381172</v>
      </c>
      <c r="AM388" s="24"/>
      <c r="AN388" s="6"/>
      <c r="AO388" s="6"/>
      <c r="AQ388" s="6"/>
      <c r="AR388" s="6"/>
      <c r="AS388" s="6"/>
      <c r="AT388" s="6"/>
      <c r="AU388" s="6"/>
      <c r="AV388" s="6"/>
      <c r="AW388" s="24"/>
      <c r="AX388" s="6"/>
      <c r="AY388" s="6"/>
      <c r="AZ388" s="6"/>
      <c r="BA388" s="6"/>
      <c r="BB388" s="6"/>
      <c r="BC388" s="6"/>
      <c r="BD388" s="24"/>
      <c r="BE388" s="6">
        <f t="shared" si="101"/>
        <v>-4.438056133</v>
      </c>
      <c r="BG388" s="24"/>
      <c r="BH388" s="24"/>
      <c r="BI388" s="24"/>
      <c r="BJ388" s="24"/>
      <c r="BK388" s="24"/>
      <c r="BL388" s="24"/>
      <c r="BN388" s="24"/>
      <c r="BO388" s="24"/>
      <c r="BP388" s="24"/>
      <c r="BQ388" s="24"/>
      <c r="BR388" s="24"/>
      <c r="BS388" s="24"/>
      <c r="BT388" s="24"/>
    </row>
    <row r="389">
      <c r="B389" s="5" t="s">
        <v>10</v>
      </c>
      <c r="C389" s="29">
        <v>2.0</v>
      </c>
      <c r="D389" s="29">
        <v>2.0</v>
      </c>
      <c r="E389" s="29">
        <v>2.0</v>
      </c>
      <c r="F389" s="29">
        <v>2.0</v>
      </c>
      <c r="G389" s="29">
        <v>6.0</v>
      </c>
      <c r="H389" s="29">
        <v>2.0</v>
      </c>
      <c r="I389" s="29">
        <v>2.0</v>
      </c>
      <c r="J389" s="29">
        <v>4.0</v>
      </c>
      <c r="K389" s="29">
        <v>3.0</v>
      </c>
      <c r="L389" s="29">
        <v>2.0</v>
      </c>
      <c r="M389" s="29">
        <v>5.0</v>
      </c>
      <c r="N389" s="29">
        <v>4.0</v>
      </c>
      <c r="O389" s="29">
        <v>6.0</v>
      </c>
      <c r="P389" s="29">
        <v>2.0</v>
      </c>
      <c r="Q389" s="29">
        <v>2.0</v>
      </c>
      <c r="R389" s="29">
        <v>2.0</v>
      </c>
      <c r="S389" s="29">
        <v>2.0</v>
      </c>
      <c r="T389" s="29">
        <v>2.0</v>
      </c>
      <c r="U389" s="29">
        <v>2.0</v>
      </c>
      <c r="V389" s="29">
        <v>2.0</v>
      </c>
      <c r="W389" s="29">
        <v>2.0</v>
      </c>
      <c r="X389" s="29">
        <v>2.0</v>
      </c>
      <c r="Y389" s="24"/>
      <c r="Z389" s="24"/>
      <c r="AA389" s="24"/>
      <c r="AB389" s="29">
        <v>2.0</v>
      </c>
      <c r="AC389" s="29">
        <v>2.0</v>
      </c>
      <c r="AD389" s="29">
        <v>2.0</v>
      </c>
      <c r="AE389" s="29">
        <v>2.0</v>
      </c>
      <c r="AF389" s="29">
        <v>2.0</v>
      </c>
      <c r="AG389" s="29">
        <v>2.0</v>
      </c>
      <c r="AH389" s="29">
        <v>2.0</v>
      </c>
      <c r="AL389" s="6">
        <f t="shared" si="100"/>
        <v>1.212618386</v>
      </c>
      <c r="AN389" s="29">
        <f>7-G389</f>
        <v>1</v>
      </c>
      <c r="AO389" s="29">
        <f>7-J389</f>
        <v>3</v>
      </c>
      <c r="AQ389" s="29">
        <f t="shared" ref="AQ389:AS389" si="116">E389</f>
        <v>2</v>
      </c>
      <c r="AR389" s="29">
        <f t="shared" si="116"/>
        <v>2</v>
      </c>
      <c r="AS389" s="29">
        <f t="shared" si="116"/>
        <v>6</v>
      </c>
      <c r="AT389" s="29">
        <f>sum(C389,D389,E389,AN389,H389,I389,AO389)</f>
        <v>14</v>
      </c>
      <c r="AU389" s="29">
        <f>sum(P389:T389)</f>
        <v>10</v>
      </c>
      <c r="AV389" s="29">
        <f>sum(U389:X389)</f>
        <v>8</v>
      </c>
      <c r="AX389" s="29">
        <f t="shared" ref="AX389:BA389" si="117">AQ389-AQ167</f>
        <v>0</v>
      </c>
      <c r="AY389" s="29">
        <f t="shared" si="117"/>
        <v>0</v>
      </c>
      <c r="AZ389" s="29">
        <f t="shared" si="117"/>
        <v>4</v>
      </c>
      <c r="BA389" s="29">
        <f t="shared" si="117"/>
        <v>-6</v>
      </c>
      <c r="BB389" s="4"/>
      <c r="BC389" s="4"/>
      <c r="BE389" s="6">
        <f t="shared" si="101"/>
        <v>0.270971155</v>
      </c>
    </row>
    <row r="390">
      <c r="C390" s="31">
        <v>90.0</v>
      </c>
      <c r="D390" s="31">
        <v>90.0</v>
      </c>
      <c r="E390" s="31">
        <v>90.0</v>
      </c>
      <c r="F390" s="31">
        <v>90.0</v>
      </c>
      <c r="G390" s="31">
        <v>45.0</v>
      </c>
      <c r="H390" s="31">
        <v>90.0</v>
      </c>
      <c r="I390" s="31">
        <v>45.0</v>
      </c>
      <c r="J390" s="31">
        <v>45.0</v>
      </c>
      <c r="K390" s="31">
        <v>45.0</v>
      </c>
      <c r="L390" s="31">
        <v>90.0</v>
      </c>
      <c r="M390" s="31">
        <v>45.0</v>
      </c>
      <c r="N390" s="31">
        <v>45.0</v>
      </c>
      <c r="O390" s="31">
        <v>90.0</v>
      </c>
      <c r="P390" s="31">
        <v>90.0</v>
      </c>
      <c r="Q390" s="31">
        <v>90.0</v>
      </c>
      <c r="R390" s="31">
        <v>90.0</v>
      </c>
      <c r="S390" s="31">
        <v>49.5</v>
      </c>
      <c r="T390" s="31">
        <v>90.0</v>
      </c>
      <c r="U390" s="31">
        <v>63.0</v>
      </c>
      <c r="V390" s="31">
        <v>69.0</v>
      </c>
      <c r="W390" s="31">
        <v>90.0</v>
      </c>
      <c r="X390" s="31">
        <v>90.0</v>
      </c>
      <c r="Y390" s="24"/>
      <c r="Z390" s="24"/>
      <c r="AA390" s="24"/>
      <c r="AB390" s="31">
        <v>90.0</v>
      </c>
      <c r="AC390" s="31">
        <v>90.0</v>
      </c>
      <c r="AD390" s="31">
        <v>90.0</v>
      </c>
      <c r="AE390" s="31">
        <v>90.0</v>
      </c>
      <c r="AF390" s="31">
        <v>90.0</v>
      </c>
      <c r="AG390" s="31">
        <v>90.0</v>
      </c>
      <c r="AH390" s="31">
        <v>90.0</v>
      </c>
      <c r="AL390" s="6">
        <f t="shared" si="100"/>
        <v>19.39113225</v>
      </c>
      <c r="AM390" s="24"/>
      <c r="AN390" s="6"/>
      <c r="AO390" s="6"/>
      <c r="AQ390" s="6"/>
      <c r="AR390" s="6"/>
      <c r="AS390" s="6"/>
      <c r="AT390" s="6"/>
      <c r="AU390" s="6"/>
      <c r="AV390" s="6"/>
      <c r="AW390" s="24"/>
      <c r="AX390" s="6"/>
      <c r="AY390" s="6"/>
      <c r="AZ390" s="6"/>
      <c r="BA390" s="6"/>
      <c r="BB390" s="6"/>
      <c r="BC390" s="6"/>
      <c r="BD390" s="24"/>
      <c r="BE390" s="6">
        <f t="shared" si="101"/>
        <v>1.151214998</v>
      </c>
      <c r="BG390" s="24"/>
      <c r="BH390" s="24"/>
      <c r="BI390" s="24"/>
      <c r="BJ390" s="24"/>
      <c r="BK390" s="24"/>
      <c r="BL390" s="24"/>
      <c r="BN390" s="24"/>
      <c r="BO390" s="24"/>
      <c r="BP390" s="24"/>
      <c r="BQ390" s="24"/>
      <c r="BR390" s="24"/>
    </row>
    <row r="391">
      <c r="B391" s="5" t="s">
        <v>11</v>
      </c>
      <c r="C391" s="29">
        <v>1.0</v>
      </c>
      <c r="D391" s="29">
        <v>1.0</v>
      </c>
      <c r="E391" s="29">
        <v>1.0</v>
      </c>
      <c r="F391" s="29">
        <v>1.0</v>
      </c>
      <c r="G391" s="29">
        <v>3.0</v>
      </c>
      <c r="H391" s="29">
        <v>2.0</v>
      </c>
      <c r="I391" s="29">
        <v>1.0</v>
      </c>
      <c r="J391" s="29">
        <v>6.0</v>
      </c>
      <c r="K391" s="29">
        <v>2.0</v>
      </c>
      <c r="L391" s="29">
        <v>5.0</v>
      </c>
      <c r="M391" s="29">
        <v>2.0</v>
      </c>
      <c r="N391" s="29">
        <v>2.0</v>
      </c>
      <c r="O391" s="29">
        <v>6.0</v>
      </c>
      <c r="P391" s="29">
        <v>2.0</v>
      </c>
      <c r="Q391" s="29">
        <v>5.0</v>
      </c>
      <c r="R391" s="29">
        <v>2.0</v>
      </c>
      <c r="S391" s="29">
        <v>5.0</v>
      </c>
      <c r="T391" s="29">
        <v>2.0</v>
      </c>
      <c r="U391" s="29">
        <v>2.0</v>
      </c>
      <c r="V391" s="29">
        <v>3.0</v>
      </c>
      <c r="W391" s="29">
        <v>1.0</v>
      </c>
      <c r="X391" s="29">
        <v>5.0</v>
      </c>
      <c r="Y391" s="24"/>
      <c r="Z391" s="24"/>
      <c r="AA391" s="24"/>
      <c r="AB391" s="29">
        <v>1.0</v>
      </c>
      <c r="AC391" s="29">
        <v>1.0</v>
      </c>
      <c r="AD391" s="29">
        <v>1.0</v>
      </c>
      <c r="AE391" s="29">
        <v>1.0</v>
      </c>
      <c r="AF391" s="29">
        <v>2.0</v>
      </c>
      <c r="AG391" s="29">
        <v>2.0</v>
      </c>
      <c r="AH391" s="29">
        <v>1.0</v>
      </c>
      <c r="AL391" s="6">
        <f t="shared" si="100"/>
        <v>1.656454758</v>
      </c>
      <c r="AN391" s="29">
        <f>7-G391</f>
        <v>4</v>
      </c>
      <c r="AO391" s="29">
        <f>7-J391</f>
        <v>1</v>
      </c>
      <c r="AQ391" s="29">
        <f t="shared" ref="AQ391:AS391" si="118">E391</f>
        <v>1</v>
      </c>
      <c r="AR391" s="29">
        <f t="shared" si="118"/>
        <v>1</v>
      </c>
      <c r="AS391" s="29">
        <f t="shared" si="118"/>
        <v>3</v>
      </c>
      <c r="AT391" s="29">
        <f>sum(C391,D391,E391,AN391,H391,I391,AO391)</f>
        <v>11</v>
      </c>
      <c r="AU391" s="29">
        <f>sum(P391:T391)</f>
        <v>16</v>
      </c>
      <c r="AV391" s="29">
        <f>sum(U391:X391)</f>
        <v>11</v>
      </c>
      <c r="AX391" s="29">
        <f t="shared" ref="AX391:BA391" si="119">AQ391-AQ169</f>
        <v>-1</v>
      </c>
      <c r="AY391" s="29">
        <f t="shared" si="119"/>
        <v>-1</v>
      </c>
      <c r="AZ391" s="29">
        <f t="shared" si="119"/>
        <v>1</v>
      </c>
      <c r="BA391" s="29">
        <f t="shared" si="119"/>
        <v>-1</v>
      </c>
      <c r="BB391" s="4"/>
      <c r="BC391" s="4"/>
      <c r="BE391" s="6">
        <f t="shared" si="101"/>
        <v>-0.3361423791</v>
      </c>
    </row>
    <row r="392">
      <c r="C392" s="31">
        <v>73.5</v>
      </c>
      <c r="D392" s="31">
        <v>78.0</v>
      </c>
      <c r="E392" s="31">
        <v>69.0</v>
      </c>
      <c r="F392" s="31">
        <v>75.0</v>
      </c>
      <c r="G392" s="31">
        <v>67.5</v>
      </c>
      <c r="H392" s="31">
        <v>70.5</v>
      </c>
      <c r="I392" s="31">
        <v>76.5</v>
      </c>
      <c r="J392" s="31">
        <v>72.0</v>
      </c>
      <c r="K392" s="31">
        <v>70.5</v>
      </c>
      <c r="L392" s="31">
        <v>61.5</v>
      </c>
      <c r="M392" s="31">
        <v>66.0</v>
      </c>
      <c r="N392" s="31">
        <v>67.5</v>
      </c>
      <c r="O392" s="31">
        <v>70.5</v>
      </c>
      <c r="P392" s="31">
        <v>57.0</v>
      </c>
      <c r="Q392" s="31">
        <v>69.0</v>
      </c>
      <c r="R392" s="31">
        <v>79.5</v>
      </c>
      <c r="S392" s="31">
        <v>61.5</v>
      </c>
      <c r="T392" s="31">
        <v>63.0</v>
      </c>
      <c r="U392" s="31">
        <v>81.0</v>
      </c>
      <c r="V392" s="31">
        <v>64.5</v>
      </c>
      <c r="W392" s="31">
        <v>84.0</v>
      </c>
      <c r="X392" s="31">
        <v>67.5</v>
      </c>
      <c r="Y392" s="24"/>
      <c r="Z392" s="24"/>
      <c r="AA392" s="24"/>
      <c r="AB392" s="31">
        <v>87.0</v>
      </c>
      <c r="AC392" s="31">
        <v>85.5</v>
      </c>
      <c r="AD392" s="31">
        <v>85.5</v>
      </c>
      <c r="AE392" s="31">
        <v>81.0</v>
      </c>
      <c r="AF392" s="31">
        <v>66.0</v>
      </c>
      <c r="AG392" s="31">
        <v>70.5</v>
      </c>
      <c r="AH392" s="31">
        <v>82.5</v>
      </c>
      <c r="AL392" s="6">
        <f t="shared" si="100"/>
        <v>8.159659874</v>
      </c>
      <c r="AM392" s="24"/>
      <c r="AN392" s="6"/>
      <c r="AO392" s="6"/>
      <c r="AQ392" s="6"/>
      <c r="AR392" s="6"/>
      <c r="AS392" s="6"/>
      <c r="AT392" s="6"/>
      <c r="AU392" s="6"/>
      <c r="AV392" s="6"/>
      <c r="AW392" s="24"/>
      <c r="AX392" s="6"/>
      <c r="AY392" s="6"/>
      <c r="AZ392" s="6"/>
      <c r="BA392" s="6"/>
      <c r="BB392" s="31"/>
      <c r="BC392" s="31"/>
      <c r="BD392" s="24"/>
      <c r="BE392" s="6">
        <f t="shared" si="101"/>
        <v>2.644287269</v>
      </c>
      <c r="BG392" s="24"/>
      <c r="BH392" s="24"/>
      <c r="BI392" s="24"/>
      <c r="BJ392" s="24"/>
      <c r="BK392" s="24"/>
      <c r="BL392" s="24"/>
      <c r="BN392" s="24"/>
      <c r="BO392" s="24"/>
      <c r="BP392" s="24"/>
      <c r="BQ392" s="24"/>
      <c r="BR392" s="24"/>
    </row>
    <row r="393">
      <c r="A393" s="24"/>
      <c r="B393" s="28" t="s">
        <v>12</v>
      </c>
      <c r="C393" s="29">
        <v>7.0</v>
      </c>
      <c r="D393" s="29">
        <v>1.0</v>
      </c>
      <c r="E393" s="29">
        <v>7.0</v>
      </c>
      <c r="F393" s="29">
        <v>1.0</v>
      </c>
      <c r="G393" s="29">
        <v>1.0</v>
      </c>
      <c r="H393" s="29">
        <v>7.0</v>
      </c>
      <c r="I393" s="29">
        <v>7.0</v>
      </c>
      <c r="J393" s="29">
        <v>5.0</v>
      </c>
      <c r="K393" s="29">
        <v>7.0</v>
      </c>
      <c r="L393" s="29">
        <v>5.0</v>
      </c>
      <c r="M393" s="29">
        <v>7.0</v>
      </c>
      <c r="N393" s="29">
        <v>7.0</v>
      </c>
      <c r="O393" s="29">
        <v>5.0</v>
      </c>
      <c r="P393" s="29">
        <v>1.0</v>
      </c>
      <c r="Q393" s="29">
        <v>1.0</v>
      </c>
      <c r="R393" s="29">
        <v>1.0</v>
      </c>
      <c r="S393" s="29">
        <v>1.0</v>
      </c>
      <c r="T393" s="29">
        <v>1.0</v>
      </c>
      <c r="U393" s="29">
        <v>7.0</v>
      </c>
      <c r="V393" s="29">
        <v>7.0</v>
      </c>
      <c r="W393" s="29">
        <v>5.0</v>
      </c>
      <c r="X393" s="29">
        <v>7.0</v>
      </c>
      <c r="Y393" s="24"/>
      <c r="Z393" s="24"/>
      <c r="AA393" s="24"/>
      <c r="AB393" s="29">
        <v>1.0</v>
      </c>
      <c r="AC393" s="29">
        <v>1.0</v>
      </c>
      <c r="AD393" s="29">
        <v>7.0</v>
      </c>
      <c r="AE393" s="29">
        <v>1.0</v>
      </c>
      <c r="AF393" s="29">
        <v>2.0</v>
      </c>
      <c r="AG393" s="29">
        <v>7.0</v>
      </c>
      <c r="AH393" s="29">
        <v>1.0</v>
      </c>
      <c r="AI393" s="24"/>
      <c r="AJ393" s="24"/>
      <c r="AK393" s="24"/>
      <c r="AL393" s="6">
        <f t="shared" si="100"/>
        <v>2.827556169</v>
      </c>
      <c r="AM393" s="24"/>
      <c r="AN393" s="29">
        <f>7-G393</f>
        <v>6</v>
      </c>
      <c r="AO393" s="29">
        <f>7-J393</f>
        <v>2</v>
      </c>
      <c r="AQ393" s="29">
        <f t="shared" ref="AQ393:AS393" si="120">E393</f>
        <v>7</v>
      </c>
      <c r="AR393" s="29">
        <f t="shared" si="120"/>
        <v>1</v>
      </c>
      <c r="AS393" s="29">
        <f t="shared" si="120"/>
        <v>1</v>
      </c>
      <c r="AT393" s="29">
        <f>sum(C393,D393,E393,AN393,H393,I393,AO393)</f>
        <v>37</v>
      </c>
      <c r="AU393" s="29">
        <f>sum(P393:T393)</f>
        <v>5</v>
      </c>
      <c r="AV393" s="29">
        <f>sum(U393:X393)</f>
        <v>26</v>
      </c>
      <c r="AW393" s="24"/>
      <c r="AX393" s="29">
        <f t="shared" ref="AX393:BA393" si="121">AQ393-AQ171</f>
        <v>2</v>
      </c>
      <c r="AY393" s="29">
        <f t="shared" si="121"/>
        <v>-6</v>
      </c>
      <c r="AZ393" s="29">
        <f t="shared" si="121"/>
        <v>0</v>
      </c>
      <c r="BA393" s="29">
        <f t="shared" si="121"/>
        <v>-2</v>
      </c>
      <c r="BB393" s="4"/>
      <c r="BC393" s="4"/>
      <c r="BD393" s="24"/>
      <c r="BE393" s="6">
        <f t="shared" si="101"/>
        <v>0.2487490217</v>
      </c>
      <c r="BG393" s="24"/>
      <c r="BH393" s="24"/>
      <c r="BI393" s="24"/>
      <c r="BJ393" s="24"/>
      <c r="BK393" s="24"/>
      <c r="BL393" s="24"/>
      <c r="BN393" s="24"/>
      <c r="BO393" s="24"/>
      <c r="BP393" s="24"/>
      <c r="BQ393" s="24"/>
      <c r="BR393" s="24"/>
      <c r="BS393" s="24"/>
    </row>
    <row r="394">
      <c r="A394" s="24"/>
      <c r="B394" s="24"/>
      <c r="C394" s="31">
        <v>90.0</v>
      </c>
      <c r="D394" s="31">
        <v>90.0</v>
      </c>
      <c r="E394" s="31">
        <v>90.0</v>
      </c>
      <c r="F394" s="31">
        <v>90.0</v>
      </c>
      <c r="G394" s="31">
        <v>90.0</v>
      </c>
      <c r="H394" s="31">
        <v>90.0</v>
      </c>
      <c r="I394" s="31">
        <v>90.0</v>
      </c>
      <c r="J394" s="31">
        <v>90.0</v>
      </c>
      <c r="K394" s="31">
        <v>90.0</v>
      </c>
      <c r="L394" s="31">
        <v>90.0</v>
      </c>
      <c r="M394" s="31">
        <v>90.0</v>
      </c>
      <c r="N394" s="31">
        <v>90.0</v>
      </c>
      <c r="O394" s="31">
        <v>90.0</v>
      </c>
      <c r="P394" s="31">
        <v>90.0</v>
      </c>
      <c r="Q394" s="31">
        <v>90.0</v>
      </c>
      <c r="R394" s="31">
        <v>90.0</v>
      </c>
      <c r="S394" s="31">
        <v>90.0</v>
      </c>
      <c r="T394" s="31">
        <v>90.0</v>
      </c>
      <c r="U394" s="31">
        <v>90.0</v>
      </c>
      <c r="V394" s="31">
        <v>90.0</v>
      </c>
      <c r="W394" s="31">
        <v>90.0</v>
      </c>
      <c r="X394" s="31">
        <v>90.0</v>
      </c>
      <c r="Y394" s="24"/>
      <c r="Z394" s="24"/>
      <c r="AA394" s="24"/>
      <c r="AB394" s="31">
        <v>90.0</v>
      </c>
      <c r="AC394" s="31">
        <v>90.0</v>
      </c>
      <c r="AD394" s="31">
        <v>90.0</v>
      </c>
      <c r="AE394" s="31">
        <v>90.0</v>
      </c>
      <c r="AF394" s="31">
        <v>90.0</v>
      </c>
      <c r="AG394" s="31">
        <v>90.0</v>
      </c>
      <c r="AH394" s="31">
        <v>90.0</v>
      </c>
      <c r="AI394" s="24"/>
      <c r="AJ394" s="24"/>
      <c r="AK394" s="24"/>
      <c r="AL394" s="6">
        <f t="shared" si="100"/>
        <v>0</v>
      </c>
      <c r="AM394" s="24"/>
      <c r="AN394" s="6"/>
      <c r="AO394" s="6"/>
      <c r="AQ394" s="6"/>
      <c r="AR394" s="6"/>
      <c r="AS394" s="6"/>
      <c r="AT394" s="6"/>
      <c r="AU394" s="6"/>
      <c r="AV394" s="6"/>
      <c r="AW394" s="24"/>
      <c r="AX394" s="6"/>
      <c r="AY394" s="6"/>
      <c r="AZ394" s="6"/>
      <c r="BA394" s="6"/>
      <c r="BB394" s="32"/>
      <c r="BC394" s="32"/>
      <c r="BD394" s="24"/>
      <c r="BE394" s="6">
        <f t="shared" si="101"/>
        <v>-1.372311663</v>
      </c>
      <c r="BG394" s="24"/>
      <c r="BH394" s="24"/>
      <c r="BI394" s="24"/>
      <c r="BJ394" s="24"/>
      <c r="BK394" s="24"/>
      <c r="BL394" s="24"/>
      <c r="BN394" s="24"/>
      <c r="BO394" s="24"/>
      <c r="BP394" s="24"/>
      <c r="BQ394" s="24"/>
      <c r="BR394" s="24"/>
      <c r="BS394" s="24"/>
    </row>
    <row r="395">
      <c r="A395" s="24"/>
      <c r="B395" s="28" t="s">
        <v>13</v>
      </c>
      <c r="C395" s="29">
        <v>3.0</v>
      </c>
      <c r="D395" s="29">
        <v>2.0</v>
      </c>
      <c r="E395" s="29">
        <v>3.0</v>
      </c>
      <c r="F395" s="29">
        <v>6.0</v>
      </c>
      <c r="G395" s="29">
        <v>6.0</v>
      </c>
      <c r="H395" s="29">
        <v>1.0</v>
      </c>
      <c r="I395" s="29">
        <v>1.0</v>
      </c>
      <c r="J395" s="29">
        <v>6.0</v>
      </c>
      <c r="K395" s="29">
        <v>6.0</v>
      </c>
      <c r="L395" s="29">
        <v>1.0</v>
      </c>
      <c r="M395" s="29">
        <v>69.0</v>
      </c>
      <c r="N395" s="29">
        <v>6.0</v>
      </c>
      <c r="O395" s="29">
        <v>6.0</v>
      </c>
      <c r="P395" s="29">
        <v>2.0</v>
      </c>
      <c r="Q395" s="29">
        <v>2.0</v>
      </c>
      <c r="R395" s="29">
        <v>1.0</v>
      </c>
      <c r="S395" s="29">
        <v>2.0</v>
      </c>
      <c r="T395" s="29">
        <v>1.0</v>
      </c>
      <c r="U395" s="29">
        <v>2.0</v>
      </c>
      <c r="V395" s="29">
        <v>2.0</v>
      </c>
      <c r="W395" s="29">
        <v>2.0</v>
      </c>
      <c r="X395" s="29">
        <v>1.0</v>
      </c>
      <c r="Y395" s="24"/>
      <c r="Z395" s="24"/>
      <c r="AA395" s="24"/>
      <c r="AB395" s="29">
        <v>1.0</v>
      </c>
      <c r="AC395" s="29">
        <v>1.0</v>
      </c>
      <c r="AD395" s="29">
        <v>1.0</v>
      </c>
      <c r="AE395" s="29">
        <v>1.0</v>
      </c>
      <c r="AF395" s="29">
        <v>1.0</v>
      </c>
      <c r="AG395" s="29">
        <v>2.0</v>
      </c>
      <c r="AH395" s="29">
        <v>1.0</v>
      </c>
      <c r="AI395" s="24"/>
      <c r="AJ395" s="24"/>
      <c r="AK395" s="24"/>
      <c r="AL395" s="6">
        <f t="shared" si="100"/>
        <v>12.49679762</v>
      </c>
      <c r="AM395" s="24"/>
      <c r="AN395" s="29">
        <f>7-G395</f>
        <v>1</v>
      </c>
      <c r="AO395" s="29">
        <f>7-J395</f>
        <v>1</v>
      </c>
      <c r="AQ395" s="29">
        <f t="shared" ref="AQ395:AS395" si="122">E395</f>
        <v>3</v>
      </c>
      <c r="AR395" s="29">
        <f t="shared" si="122"/>
        <v>6</v>
      </c>
      <c r="AS395" s="29">
        <f t="shared" si="122"/>
        <v>6</v>
      </c>
      <c r="AT395" s="29">
        <f>sum(C395,D395,E395,AN395,H395,I395,AO395)</f>
        <v>12</v>
      </c>
      <c r="AU395" s="29">
        <f>sum(P395:T395)</f>
        <v>8</v>
      </c>
      <c r="AV395" s="29">
        <f>sum(U395:X395)</f>
        <v>7</v>
      </c>
      <c r="AW395" s="24"/>
      <c r="AX395" s="29">
        <f t="shared" ref="AX395:BA395" si="123">AQ395-AQ173</f>
        <v>1</v>
      </c>
      <c r="AY395" s="29">
        <f t="shared" si="123"/>
        <v>0</v>
      </c>
      <c r="AZ395" s="29">
        <f t="shared" si="123"/>
        <v>0</v>
      </c>
      <c r="BA395" s="29">
        <f t="shared" si="123"/>
        <v>2</v>
      </c>
      <c r="BB395" s="4"/>
      <c r="BC395" s="4"/>
      <c r="BD395" s="24"/>
      <c r="BE395" s="6">
        <f t="shared" si="101"/>
        <v>10.43793476</v>
      </c>
      <c r="BG395" s="24"/>
      <c r="BH395" s="24"/>
      <c r="BI395" s="24"/>
      <c r="BJ395" s="24"/>
      <c r="BK395" s="24"/>
      <c r="BL395" s="24"/>
      <c r="BN395" s="24"/>
      <c r="BO395" s="24"/>
      <c r="BP395" s="24"/>
      <c r="BQ395" s="24"/>
      <c r="BR395" s="24"/>
      <c r="BS395" s="24"/>
    </row>
    <row r="396">
      <c r="A396" s="24"/>
      <c r="B396" s="24"/>
      <c r="C396" s="31">
        <v>47.64705882352941</v>
      </c>
      <c r="D396" s="31">
        <v>60.35294117647059</v>
      </c>
      <c r="E396" s="31">
        <v>50.8235294117647</v>
      </c>
      <c r="F396" s="31">
        <v>83.6470588235294</v>
      </c>
      <c r="G396" s="31">
        <v>84.70588235294117</v>
      </c>
      <c r="H396" s="31">
        <v>90.0</v>
      </c>
      <c r="I396" s="31">
        <v>90.0</v>
      </c>
      <c r="J396" s="31">
        <v>90.0</v>
      </c>
      <c r="K396" s="31">
        <v>72.0</v>
      </c>
      <c r="L396" s="31">
        <v>90.0</v>
      </c>
      <c r="M396" s="31">
        <v>90.0</v>
      </c>
      <c r="N396" s="31">
        <v>90.0</v>
      </c>
      <c r="O396" s="31">
        <v>44.470588235294116</v>
      </c>
      <c r="P396" s="31">
        <v>80.47058823529412</v>
      </c>
      <c r="Q396" s="31">
        <v>84.70588235294117</v>
      </c>
      <c r="R396" s="31">
        <v>64.58823529411765</v>
      </c>
      <c r="S396" s="31">
        <v>64.58823529411765</v>
      </c>
      <c r="T396" s="31">
        <v>90.0</v>
      </c>
      <c r="U396" s="31">
        <v>73.05882352941177</v>
      </c>
      <c r="V396" s="31">
        <v>82.58823529411765</v>
      </c>
      <c r="W396" s="31">
        <v>79.41176470588235</v>
      </c>
      <c r="X396" s="31">
        <v>21.176470588235293</v>
      </c>
      <c r="Y396" s="24"/>
      <c r="Z396" s="24"/>
      <c r="AA396" s="24"/>
      <c r="AB396" s="31">
        <v>90.0</v>
      </c>
      <c r="AC396" s="31">
        <v>90.0</v>
      </c>
      <c r="AD396" s="31">
        <v>90.0</v>
      </c>
      <c r="AE396" s="31">
        <v>68.82352941176471</v>
      </c>
      <c r="AF396" s="31">
        <v>90.0</v>
      </c>
      <c r="AG396" s="31">
        <v>72.0</v>
      </c>
      <c r="AH396" s="31">
        <v>90.0</v>
      </c>
      <c r="AI396" s="24"/>
      <c r="AJ396" s="24"/>
      <c r="AK396" s="24"/>
      <c r="AL396" s="6">
        <f t="shared" si="100"/>
        <v>17.59442164</v>
      </c>
      <c r="AM396" s="24"/>
      <c r="AN396" s="6"/>
      <c r="AO396" s="6"/>
      <c r="AQ396" s="6"/>
      <c r="AR396" s="6"/>
      <c r="AS396" s="6"/>
      <c r="AT396" s="6"/>
      <c r="AU396" s="6"/>
      <c r="AV396" s="6"/>
      <c r="AW396" s="24"/>
      <c r="AX396" s="6"/>
      <c r="AY396" s="6"/>
      <c r="AZ396" s="6"/>
      <c r="BA396" s="6"/>
      <c r="BB396" s="32"/>
      <c r="BC396" s="32"/>
      <c r="BD396" s="24"/>
      <c r="BE396" s="6">
        <f t="shared" si="101"/>
        <v>3.31868005</v>
      </c>
      <c r="BG396" s="24"/>
      <c r="BH396" s="24"/>
      <c r="BI396" s="24"/>
      <c r="BJ396" s="24"/>
      <c r="BK396" s="24"/>
      <c r="BL396" s="24"/>
      <c r="BN396" s="24"/>
      <c r="BO396" s="24"/>
      <c r="BP396" s="24"/>
      <c r="BQ396" s="24"/>
      <c r="BR396" s="24"/>
      <c r="BS396" s="24"/>
    </row>
    <row r="397">
      <c r="A397" s="24"/>
      <c r="B397" s="28" t="s">
        <v>14</v>
      </c>
      <c r="C397" s="29">
        <v>5.0</v>
      </c>
      <c r="D397" s="29">
        <v>2.0</v>
      </c>
      <c r="E397" s="29">
        <v>3.0</v>
      </c>
      <c r="F397" s="29">
        <v>1.0</v>
      </c>
      <c r="G397" s="29">
        <v>6.0</v>
      </c>
      <c r="H397" s="29">
        <v>5.0</v>
      </c>
      <c r="I397" s="29">
        <v>6.0</v>
      </c>
      <c r="J397" s="29">
        <v>1.0</v>
      </c>
      <c r="K397" s="29">
        <v>3.0</v>
      </c>
      <c r="L397" s="29">
        <v>5.0</v>
      </c>
      <c r="M397" s="29">
        <v>6.0</v>
      </c>
      <c r="N397" s="29">
        <v>6.0</v>
      </c>
      <c r="O397" s="29">
        <v>6.0</v>
      </c>
      <c r="P397" s="29">
        <v>3.0</v>
      </c>
      <c r="Q397" s="29">
        <v>3.0</v>
      </c>
      <c r="R397" s="29">
        <v>3.0</v>
      </c>
      <c r="S397" s="29">
        <v>3.0</v>
      </c>
      <c r="T397" s="29">
        <v>3.0</v>
      </c>
      <c r="U397" s="29">
        <v>5.0</v>
      </c>
      <c r="V397" s="29">
        <v>6.0</v>
      </c>
      <c r="W397" s="29">
        <v>3.0</v>
      </c>
      <c r="X397" s="29">
        <v>3.0</v>
      </c>
      <c r="Y397" s="24"/>
      <c r="Z397" s="24"/>
      <c r="AA397" s="24"/>
      <c r="AB397" s="29">
        <v>1.0</v>
      </c>
      <c r="AC397" s="29">
        <v>1.0</v>
      </c>
      <c r="AD397" s="29">
        <v>2.0</v>
      </c>
      <c r="AE397" s="29">
        <v>2.0</v>
      </c>
      <c r="AF397" s="29">
        <v>5.0</v>
      </c>
      <c r="AG397" s="29">
        <v>5.0</v>
      </c>
      <c r="AH397" s="29">
        <v>2.0</v>
      </c>
      <c r="AI397" s="24"/>
      <c r="AJ397" s="24"/>
      <c r="AK397" s="24"/>
      <c r="AL397" s="6">
        <f t="shared" si="100"/>
        <v>1.760961448</v>
      </c>
      <c r="AM397" s="24"/>
      <c r="AN397" s="29">
        <f>7-G397</f>
        <v>1</v>
      </c>
      <c r="AO397" s="29">
        <f>7-J397</f>
        <v>6</v>
      </c>
      <c r="AQ397" s="29">
        <f t="shared" ref="AQ397:AS397" si="124">E397</f>
        <v>3</v>
      </c>
      <c r="AR397" s="29">
        <f t="shared" si="124"/>
        <v>1</v>
      </c>
      <c r="AS397" s="29">
        <f t="shared" si="124"/>
        <v>6</v>
      </c>
      <c r="AT397" s="29">
        <f>sum(C397,D397,E397,AN397,H397,I397,AO397)</f>
        <v>28</v>
      </c>
      <c r="AU397" s="29">
        <f>sum(P397:T397)</f>
        <v>15</v>
      </c>
      <c r="AV397" s="29">
        <f>sum(U397:X397)</f>
        <v>17</v>
      </c>
      <c r="AW397" s="24"/>
      <c r="AX397" s="29">
        <f t="shared" ref="AX397:BA397" si="125">AQ397-AQ175</f>
        <v>1</v>
      </c>
      <c r="AY397" s="29">
        <f t="shared" si="125"/>
        <v>-2</v>
      </c>
      <c r="AZ397" s="29">
        <f t="shared" si="125"/>
        <v>1</v>
      </c>
      <c r="BA397" s="29">
        <f t="shared" si="125"/>
        <v>7</v>
      </c>
      <c r="BB397" s="4"/>
      <c r="BC397" s="4"/>
      <c r="BD397" s="24"/>
      <c r="BE397" s="6">
        <f t="shared" si="101"/>
        <v>0.03460819151</v>
      </c>
      <c r="BG397" s="24"/>
      <c r="BH397" s="24"/>
      <c r="BI397" s="24"/>
      <c r="BJ397" s="24"/>
      <c r="BK397" s="24"/>
      <c r="BL397" s="24"/>
      <c r="BN397" s="24"/>
      <c r="BO397" s="24"/>
      <c r="BP397" s="24"/>
      <c r="BQ397" s="24"/>
      <c r="BR397" s="24"/>
      <c r="BS397" s="24"/>
    </row>
    <row r="398">
      <c r="A398" s="24"/>
      <c r="B398" s="24"/>
      <c r="C398" s="31">
        <v>70.94117647058823</v>
      </c>
      <c r="D398" s="31">
        <v>63.529411764705884</v>
      </c>
      <c r="E398" s="31">
        <v>65.6470588235294</v>
      </c>
      <c r="F398" s="31">
        <v>66.70588235294117</v>
      </c>
      <c r="G398" s="31">
        <v>56.11764705882353</v>
      </c>
      <c r="H398" s="31">
        <v>58.23529411764706</v>
      </c>
      <c r="I398" s="31">
        <v>69.88235294117646</v>
      </c>
      <c r="J398" s="31">
        <v>60.35294117647059</v>
      </c>
      <c r="K398" s="31">
        <v>63.529411764705884</v>
      </c>
      <c r="L398" s="31">
        <v>56.11764705882353</v>
      </c>
      <c r="M398" s="31">
        <v>68.82352941176471</v>
      </c>
      <c r="N398" s="31">
        <v>79.41176470588235</v>
      </c>
      <c r="O398" s="31">
        <v>68.82352941176471</v>
      </c>
      <c r="P398" s="31">
        <v>52.94117647058823</v>
      </c>
      <c r="Q398" s="31">
        <v>65.6470588235294</v>
      </c>
      <c r="R398" s="31">
        <v>65.6470588235294</v>
      </c>
      <c r="S398" s="31">
        <v>66.70588235294117</v>
      </c>
      <c r="T398" s="31">
        <v>65.6470588235294</v>
      </c>
      <c r="U398" s="31">
        <v>56.11764705882353</v>
      </c>
      <c r="V398" s="31">
        <v>70.94117647058823</v>
      </c>
      <c r="W398" s="31">
        <v>74.11764705882354</v>
      </c>
      <c r="X398" s="31">
        <v>59.294117647058826</v>
      </c>
      <c r="Y398" s="24"/>
      <c r="Z398" s="24"/>
      <c r="AA398" s="24"/>
      <c r="AB398" s="31">
        <v>78.3529411764706</v>
      </c>
      <c r="AC398" s="31">
        <v>79.41176470588235</v>
      </c>
      <c r="AD398" s="31">
        <v>77.29411764705883</v>
      </c>
      <c r="AE398" s="31">
        <v>81.52941176470588</v>
      </c>
      <c r="AF398" s="31">
        <v>68.82352941176471</v>
      </c>
      <c r="AG398" s="31">
        <v>69.88235294117646</v>
      </c>
      <c r="AH398" s="31">
        <v>78.3529411764706</v>
      </c>
      <c r="AI398" s="24"/>
      <c r="AJ398" s="24"/>
      <c r="AK398" s="24"/>
      <c r="AL398" s="6">
        <f t="shared" si="100"/>
        <v>7.900125714</v>
      </c>
      <c r="AM398" s="24"/>
      <c r="AN398" s="6"/>
      <c r="AO398" s="6"/>
      <c r="AQ398" s="6"/>
      <c r="AR398" s="6"/>
      <c r="AS398" s="6"/>
      <c r="AT398" s="6"/>
      <c r="AU398" s="6"/>
      <c r="AV398" s="6"/>
      <c r="AW398" s="24"/>
      <c r="AX398" s="6"/>
      <c r="AY398" s="6"/>
      <c r="AZ398" s="6"/>
      <c r="BA398" s="6"/>
      <c r="BB398" s="32"/>
      <c r="BC398" s="32"/>
      <c r="BD398" s="24"/>
      <c r="BE398" s="6">
        <f t="shared" si="101"/>
        <v>-0.6031616498</v>
      </c>
      <c r="BG398" s="24"/>
      <c r="BH398" s="24"/>
      <c r="BI398" s="24"/>
      <c r="BJ398" s="24"/>
      <c r="BK398" s="24"/>
      <c r="BL398" s="24"/>
      <c r="BN398" s="24"/>
      <c r="BO398" s="24"/>
      <c r="BP398" s="24"/>
      <c r="BQ398" s="24"/>
      <c r="BR398" s="24"/>
      <c r="BS398" s="24"/>
    </row>
    <row r="399">
      <c r="B399" s="5" t="s">
        <v>15</v>
      </c>
      <c r="C399" s="4">
        <v>5.0</v>
      </c>
      <c r="D399" s="4">
        <v>5.0</v>
      </c>
      <c r="E399" s="4">
        <v>5.0</v>
      </c>
      <c r="F399" s="4">
        <v>5.0</v>
      </c>
      <c r="G399" s="4">
        <v>5.0</v>
      </c>
      <c r="H399" s="4">
        <v>3.0</v>
      </c>
      <c r="I399" s="4">
        <v>5.0</v>
      </c>
      <c r="J399" s="4">
        <v>5.0</v>
      </c>
      <c r="K399" s="4">
        <v>3.0</v>
      </c>
      <c r="L399" s="4">
        <v>6.0</v>
      </c>
      <c r="M399" s="4">
        <v>5.0</v>
      </c>
      <c r="N399" s="4">
        <v>5.0</v>
      </c>
      <c r="O399" s="4">
        <v>6.0</v>
      </c>
      <c r="P399" s="4">
        <v>3.0</v>
      </c>
      <c r="Q399" s="4">
        <v>2.0</v>
      </c>
      <c r="R399" s="4">
        <v>2.0</v>
      </c>
      <c r="S399" s="4">
        <v>2.0</v>
      </c>
      <c r="T399" s="4">
        <v>3.0</v>
      </c>
      <c r="U399" s="4">
        <v>3.0</v>
      </c>
      <c r="V399" s="4">
        <v>5.0</v>
      </c>
      <c r="W399" s="4">
        <v>2.0</v>
      </c>
      <c r="X399" s="4">
        <v>5.0</v>
      </c>
      <c r="AB399" s="4">
        <v>3.0</v>
      </c>
      <c r="AC399" s="4">
        <v>2.0</v>
      </c>
      <c r="AD399" s="4">
        <v>2.0</v>
      </c>
      <c r="AE399" s="4">
        <v>2.0</v>
      </c>
      <c r="AF399" s="4">
        <v>5.0</v>
      </c>
      <c r="AG399" s="4">
        <v>6.0</v>
      </c>
      <c r="AH399" s="4">
        <v>5.0</v>
      </c>
      <c r="AL399" s="6">
        <f t="shared" si="100"/>
        <v>1.451175844</v>
      </c>
      <c r="AM399" s="24"/>
      <c r="AN399" s="4">
        <f>7-G399</f>
        <v>2</v>
      </c>
      <c r="AO399" s="4">
        <f>7-J399</f>
        <v>2</v>
      </c>
      <c r="AQ399" s="4">
        <f t="shared" ref="AQ399:AS399" si="126">E399</f>
        <v>5</v>
      </c>
      <c r="AR399" s="4">
        <f t="shared" si="126"/>
        <v>5</v>
      </c>
      <c r="AS399" s="4">
        <f t="shared" si="126"/>
        <v>5</v>
      </c>
      <c r="AT399" s="4">
        <f>sum(C399,D399,E399,AN399,H399,I399,AO399)</f>
        <v>27</v>
      </c>
      <c r="AU399" s="4">
        <f>sum(P399:T399)</f>
        <v>12</v>
      </c>
      <c r="AV399" s="4">
        <f>sum(U399:X399)</f>
        <v>15</v>
      </c>
      <c r="AW399" s="24"/>
      <c r="AX399" s="29">
        <f t="shared" ref="AX399:BA399" si="127">AQ399-AQ177</f>
        <v>0</v>
      </c>
      <c r="AY399" s="29">
        <f t="shared" si="127"/>
        <v>0</v>
      </c>
      <c r="AZ399" s="29">
        <f t="shared" si="127"/>
        <v>0</v>
      </c>
      <c r="BA399" s="29">
        <f t="shared" si="127"/>
        <v>2</v>
      </c>
      <c r="BB399" s="4"/>
      <c r="BC399" s="4"/>
      <c r="BD399" s="24"/>
      <c r="BE399" s="6">
        <f t="shared" si="101"/>
        <v>0.1399886633</v>
      </c>
      <c r="BG399" s="24"/>
      <c r="BH399" s="24"/>
      <c r="BI399" s="24"/>
      <c r="BJ399" s="24"/>
      <c r="BK399" s="24"/>
      <c r="BL399" s="24"/>
      <c r="BN399" s="24"/>
      <c r="BO399" s="24"/>
      <c r="BP399" s="24"/>
      <c r="BQ399" s="24"/>
      <c r="BR399" s="24"/>
      <c r="BS399" s="24"/>
    </row>
    <row r="400">
      <c r="C400" s="6">
        <v>63.0</v>
      </c>
      <c r="D400" s="6">
        <v>64.0</v>
      </c>
      <c r="E400" s="6">
        <v>57.0</v>
      </c>
      <c r="F400" s="6">
        <v>64.0</v>
      </c>
      <c r="G400" s="6">
        <v>60.0</v>
      </c>
      <c r="H400" s="6">
        <v>64.0</v>
      </c>
      <c r="I400" s="6">
        <v>60.0</v>
      </c>
      <c r="J400" s="6">
        <v>65.0</v>
      </c>
      <c r="K400" s="6">
        <v>57.0</v>
      </c>
      <c r="L400" s="6">
        <v>72.0</v>
      </c>
      <c r="M400" s="6">
        <v>66.0</v>
      </c>
      <c r="N400" s="6">
        <v>68.0</v>
      </c>
      <c r="O400" s="6">
        <v>69.0</v>
      </c>
      <c r="P400" s="6">
        <v>66.0</v>
      </c>
      <c r="Q400" s="6">
        <v>68.0</v>
      </c>
      <c r="R400" s="6">
        <v>66.0</v>
      </c>
      <c r="S400" s="6">
        <v>68.0</v>
      </c>
      <c r="T400" s="6">
        <v>69.0</v>
      </c>
      <c r="U400" s="6">
        <v>64.0</v>
      </c>
      <c r="V400" s="6">
        <v>64.0</v>
      </c>
      <c r="W400" s="6">
        <v>64.0</v>
      </c>
      <c r="X400" s="6">
        <v>69.0</v>
      </c>
      <c r="AB400" s="6">
        <v>74.0</v>
      </c>
      <c r="AC400" s="6">
        <v>72.0</v>
      </c>
      <c r="AD400" s="6">
        <v>61.0</v>
      </c>
      <c r="AE400" s="6">
        <v>70.0</v>
      </c>
      <c r="AF400" s="6">
        <v>67.0</v>
      </c>
      <c r="AG400" s="6">
        <v>67.0</v>
      </c>
      <c r="AH400" s="6">
        <v>68.0</v>
      </c>
      <c r="AL400" s="6">
        <f t="shared" si="100"/>
        <v>4.17386898</v>
      </c>
      <c r="AN400" s="6"/>
      <c r="AO400" s="6"/>
      <c r="AQ400" s="6"/>
      <c r="AR400" s="6"/>
      <c r="AS400" s="6"/>
      <c r="AT400" s="6"/>
      <c r="AU400" s="6"/>
      <c r="AV400" s="6"/>
      <c r="AX400" s="6"/>
      <c r="AY400" s="6"/>
      <c r="AZ400" s="6"/>
      <c r="BA400" s="6"/>
      <c r="BB400" s="6"/>
      <c r="BC400" s="6"/>
      <c r="BE400" s="6">
        <f t="shared" si="101"/>
        <v>-4.307637996</v>
      </c>
    </row>
    <row r="401">
      <c r="B401" s="5" t="s">
        <v>16</v>
      </c>
      <c r="C401" s="4">
        <v>6.0</v>
      </c>
      <c r="D401" s="4">
        <v>6.0</v>
      </c>
      <c r="E401" s="4">
        <v>5.0</v>
      </c>
      <c r="F401" s="4">
        <v>3.0</v>
      </c>
      <c r="G401" s="4">
        <v>3.0</v>
      </c>
      <c r="H401" s="4">
        <v>6.0</v>
      </c>
      <c r="I401" s="4">
        <v>4.0</v>
      </c>
      <c r="J401" s="4">
        <v>4.0</v>
      </c>
      <c r="K401" s="4">
        <v>4.0</v>
      </c>
      <c r="L401" s="4">
        <v>2.0</v>
      </c>
      <c r="M401" s="4">
        <v>5.0</v>
      </c>
      <c r="N401" s="4">
        <v>6.0</v>
      </c>
      <c r="O401" s="4">
        <v>6.0</v>
      </c>
      <c r="P401" s="4">
        <v>2.0</v>
      </c>
      <c r="Q401" s="4">
        <v>4.0</v>
      </c>
      <c r="R401" s="4">
        <v>2.0</v>
      </c>
      <c r="S401" s="4">
        <v>4.0</v>
      </c>
      <c r="T401" s="4">
        <v>4.0</v>
      </c>
      <c r="U401" s="4">
        <v>2.0</v>
      </c>
      <c r="V401" s="4">
        <v>5.0</v>
      </c>
      <c r="W401" s="4">
        <v>5.0</v>
      </c>
      <c r="X401" s="4">
        <v>3.0</v>
      </c>
      <c r="AB401" s="4">
        <v>2.0</v>
      </c>
      <c r="AC401" s="4">
        <v>2.0</v>
      </c>
      <c r="AD401" s="4">
        <v>4.0</v>
      </c>
      <c r="AE401" s="4">
        <v>2.0</v>
      </c>
      <c r="AF401" s="4">
        <v>4.0</v>
      </c>
      <c r="AG401" s="4">
        <v>2.0</v>
      </c>
      <c r="AH401" s="4">
        <v>2.0</v>
      </c>
      <c r="AL401" s="6">
        <f t="shared" si="100"/>
        <v>1.479748348</v>
      </c>
      <c r="AN401" s="4">
        <f>7-G401</f>
        <v>4</v>
      </c>
      <c r="AO401" s="4">
        <f>7-J401</f>
        <v>3</v>
      </c>
      <c r="AQ401" s="4">
        <f t="shared" ref="AQ401:AS401" si="128">E401</f>
        <v>5</v>
      </c>
      <c r="AR401" s="4">
        <f t="shared" si="128"/>
        <v>3</v>
      </c>
      <c r="AS401" s="4">
        <f t="shared" si="128"/>
        <v>3</v>
      </c>
      <c r="AT401" s="4">
        <f>sum(C401,D401,E401,AN401,H401,I401,AO401)</f>
        <v>34</v>
      </c>
      <c r="AU401" s="4">
        <f>sum(P401:T401)</f>
        <v>16</v>
      </c>
      <c r="AV401" s="4">
        <f>sum(U401:X401)</f>
        <v>15</v>
      </c>
      <c r="AX401" s="29">
        <f t="shared" ref="AX401:BA401" si="129">AQ401-AQ179</f>
        <v>0</v>
      </c>
      <c r="AY401" s="29">
        <f t="shared" si="129"/>
        <v>1</v>
      </c>
      <c r="AZ401" s="29">
        <f t="shared" si="129"/>
        <v>-2</v>
      </c>
      <c r="BA401" s="29">
        <f t="shared" si="129"/>
        <v>2</v>
      </c>
      <c r="BB401" s="4"/>
      <c r="BC401" s="4"/>
      <c r="BE401" s="6">
        <f t="shared" si="101"/>
        <v>-0.1145765631</v>
      </c>
    </row>
    <row r="402">
      <c r="C402" s="6">
        <v>50.0</v>
      </c>
      <c r="D402" s="6">
        <v>62.0</v>
      </c>
      <c r="E402" s="6">
        <v>49.0</v>
      </c>
      <c r="F402" s="6">
        <v>60.0</v>
      </c>
      <c r="G402" s="6">
        <v>66.0</v>
      </c>
      <c r="H402" s="6">
        <v>75.0</v>
      </c>
      <c r="I402" s="6">
        <v>44.0</v>
      </c>
      <c r="J402" s="6">
        <v>45.0</v>
      </c>
      <c r="K402" s="6">
        <v>44.0</v>
      </c>
      <c r="L402" s="6">
        <v>49.0</v>
      </c>
      <c r="M402" s="6">
        <v>56.0</v>
      </c>
      <c r="N402" s="6">
        <v>50.0</v>
      </c>
      <c r="O402" s="6">
        <v>47.0</v>
      </c>
      <c r="P402" s="6">
        <v>57.0</v>
      </c>
      <c r="Q402" s="6">
        <v>42.0</v>
      </c>
      <c r="R402" s="6">
        <v>67.0</v>
      </c>
      <c r="S402" s="6">
        <v>66.0</v>
      </c>
      <c r="T402" s="6">
        <v>52.0</v>
      </c>
      <c r="U402" s="6">
        <v>61.0</v>
      </c>
      <c r="V402" s="6">
        <v>59.0</v>
      </c>
      <c r="W402" s="6">
        <v>50.0</v>
      </c>
      <c r="X402" s="6">
        <v>51.0</v>
      </c>
      <c r="AB402" s="6">
        <v>68.0</v>
      </c>
      <c r="AC402" s="6">
        <v>68.0</v>
      </c>
      <c r="AD402" s="6">
        <v>54.0</v>
      </c>
      <c r="AE402" s="6">
        <v>64.0</v>
      </c>
      <c r="AF402" s="6">
        <v>50.0</v>
      </c>
      <c r="AG402" s="6">
        <v>63.0</v>
      </c>
      <c r="AH402" s="6">
        <v>67.0</v>
      </c>
      <c r="AL402" s="6">
        <f t="shared" si="100"/>
        <v>8.982193661</v>
      </c>
      <c r="AN402" s="6"/>
      <c r="AO402" s="6"/>
      <c r="AQ402" s="6"/>
      <c r="AR402" s="6"/>
      <c r="AS402" s="6"/>
      <c r="AT402" s="6"/>
      <c r="AU402" s="6"/>
      <c r="AV402" s="6"/>
      <c r="AX402" s="6"/>
      <c r="AY402" s="6"/>
      <c r="AZ402" s="6"/>
      <c r="BA402" s="6"/>
      <c r="BB402" s="6"/>
      <c r="BC402" s="6"/>
      <c r="BE402" s="6">
        <f t="shared" si="101"/>
        <v>-4.51493247</v>
      </c>
    </row>
    <row r="403">
      <c r="B403" s="5" t="s">
        <v>17</v>
      </c>
      <c r="C403" s="4">
        <v>6.0</v>
      </c>
      <c r="D403" s="4">
        <v>2.0</v>
      </c>
      <c r="E403" s="4">
        <v>6.0</v>
      </c>
      <c r="F403" s="4">
        <v>6.0</v>
      </c>
      <c r="G403" s="4">
        <v>2.0</v>
      </c>
      <c r="H403" s="4">
        <v>2.0</v>
      </c>
      <c r="I403" s="4">
        <v>5.0</v>
      </c>
      <c r="J403" s="4">
        <v>2.0</v>
      </c>
      <c r="K403" s="4">
        <v>3.0</v>
      </c>
      <c r="L403" s="4">
        <v>5.0</v>
      </c>
      <c r="M403" s="4">
        <v>6.0</v>
      </c>
      <c r="N403" s="4">
        <v>6.0</v>
      </c>
      <c r="O403" s="4">
        <v>6.0</v>
      </c>
      <c r="P403" s="4">
        <v>1.0</v>
      </c>
      <c r="Q403" s="4">
        <v>1.0</v>
      </c>
      <c r="R403" s="4">
        <v>1.0</v>
      </c>
      <c r="S403" s="4">
        <v>1.0</v>
      </c>
      <c r="T403" s="4">
        <v>2.0</v>
      </c>
      <c r="U403" s="4">
        <v>6.0</v>
      </c>
      <c r="V403" s="4">
        <v>6.0</v>
      </c>
      <c r="W403" s="4">
        <v>3.0</v>
      </c>
      <c r="X403" s="4">
        <v>5.0</v>
      </c>
      <c r="AB403" s="4">
        <v>2.0</v>
      </c>
      <c r="AC403" s="4">
        <v>2.0</v>
      </c>
      <c r="AD403" s="4">
        <v>3.0</v>
      </c>
      <c r="AE403" s="4">
        <v>2.0</v>
      </c>
      <c r="AF403" s="4">
        <v>3.0</v>
      </c>
      <c r="AG403" s="4">
        <v>7.0</v>
      </c>
      <c r="AH403" s="4">
        <v>3.0</v>
      </c>
      <c r="AL403" s="6">
        <f t="shared" si="100"/>
        <v>2.007375563</v>
      </c>
      <c r="AN403" s="4">
        <f>7-G403</f>
        <v>5</v>
      </c>
      <c r="AO403" s="4">
        <f>7-J403</f>
        <v>5</v>
      </c>
      <c r="AQ403" s="4">
        <f t="shared" ref="AQ403:AS403" si="130">E403</f>
        <v>6</v>
      </c>
      <c r="AR403" s="4">
        <f t="shared" si="130"/>
        <v>6</v>
      </c>
      <c r="AS403" s="4">
        <f t="shared" si="130"/>
        <v>2</v>
      </c>
      <c r="AT403" s="4">
        <f>sum(C403,D403,E403,AN403,H403,I403,AO403)</f>
        <v>31</v>
      </c>
      <c r="AU403" s="4">
        <f>sum(P403:T403)</f>
        <v>6</v>
      </c>
      <c r="AV403" s="4">
        <f>sum(U403:X403)</f>
        <v>20</v>
      </c>
      <c r="AX403" s="29">
        <f t="shared" ref="AX403:BA403" si="131">AQ403-AQ181</f>
        <v>4</v>
      </c>
      <c r="AY403" s="29">
        <f t="shared" si="131"/>
        <v>0</v>
      </c>
      <c r="AZ403" s="29">
        <f t="shared" si="131"/>
        <v>-1</v>
      </c>
      <c r="BA403" s="29">
        <f t="shared" si="131"/>
        <v>13</v>
      </c>
      <c r="BB403" s="4"/>
      <c r="BC403" s="4"/>
      <c r="BE403" s="6">
        <f t="shared" si="101"/>
        <v>0.1188569733</v>
      </c>
    </row>
    <row r="404">
      <c r="C404" s="31">
        <v>80.47058823529412</v>
      </c>
      <c r="D404" s="31">
        <v>42.35294117647059</v>
      </c>
      <c r="E404" s="31">
        <v>63.529411764705884</v>
      </c>
      <c r="F404" s="31">
        <v>67.76470588235294</v>
      </c>
      <c r="G404" s="31">
        <v>50.8235294117647</v>
      </c>
      <c r="H404" s="31">
        <v>60.35294117647059</v>
      </c>
      <c r="I404" s="31">
        <v>58.23529411764706</v>
      </c>
      <c r="J404" s="31">
        <v>55.05882352941177</v>
      </c>
      <c r="K404" s="31">
        <v>57.1764705882353</v>
      </c>
      <c r="L404" s="31">
        <v>57.1764705882353</v>
      </c>
      <c r="M404" s="31">
        <v>61.411764705882355</v>
      </c>
      <c r="N404" s="31">
        <v>62.470588235294116</v>
      </c>
      <c r="O404" s="31">
        <v>72.0</v>
      </c>
      <c r="P404" s="31">
        <v>79.41176470588235</v>
      </c>
      <c r="Q404" s="31">
        <v>76.23529411764706</v>
      </c>
      <c r="R404" s="31">
        <v>78.3529411764706</v>
      </c>
      <c r="S404" s="31">
        <v>78.3529411764706</v>
      </c>
      <c r="T404" s="31">
        <v>68.82352941176471</v>
      </c>
      <c r="U404" s="31">
        <v>72.0</v>
      </c>
      <c r="V404" s="31">
        <v>76.23529411764706</v>
      </c>
      <c r="W404" s="31">
        <v>51.88235294117647</v>
      </c>
      <c r="X404" s="31">
        <v>63.529411764705884</v>
      </c>
      <c r="AB404" s="6">
        <v>58.0</v>
      </c>
      <c r="AC404" s="6">
        <v>64.0</v>
      </c>
      <c r="AD404" s="6">
        <v>46.0</v>
      </c>
      <c r="AE404" s="6">
        <v>66.0</v>
      </c>
      <c r="AF404" s="6">
        <v>47.0</v>
      </c>
      <c r="AG404" s="6">
        <v>75.0</v>
      </c>
      <c r="AH404" s="6">
        <v>50.0</v>
      </c>
      <c r="AL404" s="6">
        <f t="shared" si="100"/>
        <v>10.96190001</v>
      </c>
      <c r="AN404" s="6"/>
      <c r="AO404" s="6"/>
      <c r="AQ404" s="6"/>
      <c r="AR404" s="6"/>
      <c r="AS404" s="6"/>
      <c r="AT404" s="6"/>
      <c r="AU404" s="6"/>
      <c r="AV404" s="6"/>
      <c r="AX404" s="6"/>
      <c r="AY404" s="6"/>
      <c r="AZ404" s="6"/>
      <c r="BA404" s="6"/>
      <c r="BB404" s="6"/>
      <c r="BC404" s="6"/>
      <c r="BE404" s="6">
        <f t="shared" si="101"/>
        <v>2.898391804</v>
      </c>
    </row>
    <row r="405">
      <c r="B405" s="5" t="s">
        <v>18</v>
      </c>
      <c r="C405" s="4">
        <v>5.0</v>
      </c>
      <c r="D405" s="4">
        <v>5.0</v>
      </c>
      <c r="E405" s="4">
        <v>2.0</v>
      </c>
      <c r="F405" s="4">
        <v>1.0</v>
      </c>
      <c r="G405" s="4">
        <v>2.0</v>
      </c>
      <c r="H405" s="4">
        <v>2.0</v>
      </c>
      <c r="I405" s="4">
        <v>6.0</v>
      </c>
      <c r="J405" s="4">
        <v>2.0</v>
      </c>
      <c r="K405" s="4">
        <v>2.0</v>
      </c>
      <c r="L405" s="4">
        <v>1.0</v>
      </c>
      <c r="M405" s="4">
        <v>5.0</v>
      </c>
      <c r="N405" s="4">
        <v>5.0</v>
      </c>
      <c r="O405" s="4">
        <v>6.0</v>
      </c>
      <c r="P405" s="4">
        <v>4.0</v>
      </c>
      <c r="Q405" s="4">
        <v>1.0</v>
      </c>
      <c r="R405" s="4">
        <v>1.0</v>
      </c>
      <c r="S405" s="4">
        <v>1.0</v>
      </c>
      <c r="T405" s="4">
        <v>4.0</v>
      </c>
      <c r="U405" s="4">
        <v>2.0</v>
      </c>
      <c r="V405" s="4">
        <v>5.0</v>
      </c>
      <c r="W405" s="4">
        <v>3.0</v>
      </c>
      <c r="X405" s="4">
        <v>2.0</v>
      </c>
      <c r="AB405" s="4">
        <v>2.0</v>
      </c>
      <c r="AC405" s="4">
        <v>2.0</v>
      </c>
      <c r="AD405" s="4">
        <v>2.0</v>
      </c>
      <c r="AE405" s="4">
        <v>1.0</v>
      </c>
      <c r="AF405" s="4">
        <v>2.0</v>
      </c>
      <c r="AG405" s="4">
        <v>2.0</v>
      </c>
      <c r="AH405" s="4">
        <v>2.0</v>
      </c>
      <c r="AL405" s="6">
        <f t="shared" si="100"/>
        <v>1.640016821</v>
      </c>
      <c r="AN405" s="4">
        <f>7-G405</f>
        <v>5</v>
      </c>
      <c r="AO405" s="4">
        <f>7-J405</f>
        <v>5</v>
      </c>
      <c r="AQ405" s="4">
        <f t="shared" ref="AQ405:AS405" si="132">E405</f>
        <v>2</v>
      </c>
      <c r="AR405" s="4">
        <f t="shared" si="132"/>
        <v>1</v>
      </c>
      <c r="AS405" s="4">
        <f t="shared" si="132"/>
        <v>2</v>
      </c>
      <c r="AT405" s="4">
        <f>sum(C405,D405,E405,AN405,H405,I405,AO405)</f>
        <v>30</v>
      </c>
      <c r="AU405" s="4">
        <f>sum(P405:T405)</f>
        <v>11</v>
      </c>
      <c r="AV405" s="4">
        <f>sum(U405:X405)</f>
        <v>12</v>
      </c>
      <c r="AX405" s="29">
        <f t="shared" ref="AX405:BA405" si="133">AQ405-AQ183</f>
        <v>0</v>
      </c>
      <c r="AY405" s="29">
        <f t="shared" si="133"/>
        <v>0</v>
      </c>
      <c r="AZ405" s="29">
        <f t="shared" si="133"/>
        <v>0</v>
      </c>
      <c r="BA405" s="29">
        <f t="shared" si="133"/>
        <v>0</v>
      </c>
      <c r="BB405" s="4"/>
      <c r="BC405" s="4"/>
      <c r="BE405" s="6">
        <f t="shared" si="101"/>
        <v>0</v>
      </c>
    </row>
    <row r="406">
      <c r="C406" s="6">
        <v>79.0</v>
      </c>
      <c r="D406" s="6">
        <v>80.0</v>
      </c>
      <c r="E406" s="6">
        <v>77.0</v>
      </c>
      <c r="F406" s="6">
        <v>82.0</v>
      </c>
      <c r="G406" s="6">
        <v>78.0</v>
      </c>
      <c r="H406" s="6">
        <v>78.0</v>
      </c>
      <c r="I406" s="6">
        <v>76.0</v>
      </c>
      <c r="J406" s="6">
        <v>77.0</v>
      </c>
      <c r="K406" s="6">
        <v>78.0</v>
      </c>
      <c r="L406" s="6">
        <v>76.0</v>
      </c>
      <c r="M406" s="6">
        <v>76.0</v>
      </c>
      <c r="N406" s="6">
        <v>75.0</v>
      </c>
      <c r="O406" s="6">
        <v>77.0</v>
      </c>
      <c r="P406" s="6">
        <v>77.0</v>
      </c>
      <c r="Q406" s="6">
        <v>80.0</v>
      </c>
      <c r="R406" s="6">
        <v>78.0</v>
      </c>
      <c r="S406" s="6">
        <v>80.0</v>
      </c>
      <c r="T406" s="6">
        <v>77.0</v>
      </c>
      <c r="U406" s="6">
        <v>75.0</v>
      </c>
      <c r="V406" s="6">
        <v>77.0</v>
      </c>
      <c r="W406" s="6">
        <v>78.0</v>
      </c>
      <c r="X406" s="6">
        <v>78.0</v>
      </c>
      <c r="AB406" s="6">
        <v>75.0</v>
      </c>
      <c r="AC406" s="6">
        <v>74.0</v>
      </c>
      <c r="AD406" s="6">
        <v>72.0</v>
      </c>
      <c r="AE406" s="6">
        <v>78.0</v>
      </c>
      <c r="AF406" s="6">
        <v>75.0</v>
      </c>
      <c r="AG406" s="6">
        <v>74.0</v>
      </c>
      <c r="AH406" s="6">
        <v>77.0</v>
      </c>
      <c r="AL406" s="6">
        <f t="shared" si="100"/>
        <v>2.112594184</v>
      </c>
      <c r="AN406" s="6"/>
      <c r="AO406" s="6"/>
      <c r="AQ406" s="6"/>
      <c r="AR406" s="6"/>
      <c r="AS406" s="6"/>
      <c r="AT406" s="6"/>
      <c r="AU406" s="6"/>
      <c r="AV406" s="6"/>
      <c r="AX406" s="6"/>
      <c r="AY406" s="6"/>
      <c r="AZ406" s="6"/>
      <c r="BA406" s="6"/>
      <c r="BB406" s="6"/>
      <c r="BC406" s="6"/>
      <c r="BE406" s="6">
        <f t="shared" si="101"/>
        <v>0</v>
      </c>
    </row>
    <row r="407">
      <c r="B407" s="5" t="s">
        <v>19</v>
      </c>
      <c r="C407" s="4">
        <v>7.0</v>
      </c>
      <c r="D407" s="4">
        <v>6.0</v>
      </c>
      <c r="E407" s="4">
        <v>7.0</v>
      </c>
      <c r="F407" s="4">
        <v>2.0</v>
      </c>
      <c r="G407" s="4">
        <v>1.0</v>
      </c>
      <c r="H407" s="4">
        <v>6.0</v>
      </c>
      <c r="I407" s="4">
        <v>6.0</v>
      </c>
      <c r="J407" s="4">
        <v>1.0</v>
      </c>
      <c r="K407" s="4">
        <v>6.0</v>
      </c>
      <c r="L407" s="4">
        <v>7.0</v>
      </c>
      <c r="M407" s="4">
        <v>2.0</v>
      </c>
      <c r="N407" s="4">
        <v>2.0</v>
      </c>
      <c r="O407" s="4">
        <v>6.0</v>
      </c>
      <c r="P407" s="4">
        <v>1.0</v>
      </c>
      <c r="Q407" s="4">
        <v>1.0</v>
      </c>
      <c r="R407" s="4">
        <v>1.0</v>
      </c>
      <c r="S407" s="4">
        <v>1.0</v>
      </c>
      <c r="T407" s="4">
        <v>5.0</v>
      </c>
      <c r="U407" s="4">
        <v>2.0</v>
      </c>
      <c r="V407" s="4">
        <v>5.0</v>
      </c>
      <c r="W407" s="4">
        <v>2.0</v>
      </c>
      <c r="X407" s="4">
        <v>5.0</v>
      </c>
      <c r="AB407" s="4">
        <v>2.0</v>
      </c>
      <c r="AC407" s="4">
        <v>1.0</v>
      </c>
      <c r="AD407" s="4">
        <v>1.0</v>
      </c>
      <c r="AE407" s="4">
        <v>4.0</v>
      </c>
      <c r="AF407" s="4">
        <v>2.0</v>
      </c>
      <c r="AG407" s="4">
        <v>5.0</v>
      </c>
      <c r="AH407" s="4">
        <v>3.0</v>
      </c>
      <c r="AL407" s="6">
        <f t="shared" si="100"/>
        <v>2.261260819</v>
      </c>
      <c r="AN407" s="4">
        <f>7-G407</f>
        <v>6</v>
      </c>
      <c r="AO407" s="4">
        <f>7-J407</f>
        <v>6</v>
      </c>
      <c r="AQ407" s="4">
        <f t="shared" ref="AQ407:AS407" si="134">E407</f>
        <v>7</v>
      </c>
      <c r="AR407" s="4">
        <f t="shared" si="134"/>
        <v>2</v>
      </c>
      <c r="AS407" s="4">
        <f t="shared" si="134"/>
        <v>1</v>
      </c>
      <c r="AT407" s="4">
        <f>sum(C407,D407,E407,AN407,H407,I407,AO407)</f>
        <v>44</v>
      </c>
      <c r="AU407" s="4">
        <f>sum(P407:T407)</f>
        <v>9</v>
      </c>
      <c r="AV407" s="4">
        <f>sum(U407:X407)</f>
        <v>14</v>
      </c>
      <c r="AX407" s="29">
        <f t="shared" ref="AX407:BA407" si="135">AQ407-AQ185</f>
        <v>0</v>
      </c>
      <c r="AY407" s="29">
        <f t="shared" si="135"/>
        <v>0</v>
      </c>
      <c r="AZ407" s="29">
        <f t="shared" si="135"/>
        <v>0</v>
      </c>
      <c r="BA407" s="29">
        <f t="shared" si="135"/>
        <v>5</v>
      </c>
      <c r="BB407" s="4"/>
      <c r="BC407" s="4"/>
      <c r="BE407" s="6">
        <f t="shared" si="101"/>
        <v>0.05904518616</v>
      </c>
    </row>
    <row r="408">
      <c r="C408" s="6">
        <v>88.0</v>
      </c>
      <c r="D408" s="6">
        <v>85.0</v>
      </c>
      <c r="E408" s="6">
        <v>78.0</v>
      </c>
      <c r="F408" s="6">
        <v>83.0</v>
      </c>
      <c r="G408" s="6">
        <v>80.0</v>
      </c>
      <c r="H408" s="6">
        <v>76.0</v>
      </c>
      <c r="I408" s="6">
        <v>77.0</v>
      </c>
      <c r="J408" s="6">
        <v>43.0</v>
      </c>
      <c r="K408" s="6">
        <v>60.0</v>
      </c>
      <c r="L408" s="6">
        <v>73.0</v>
      </c>
      <c r="M408" s="6">
        <v>40.0</v>
      </c>
      <c r="N408" s="6">
        <v>69.0</v>
      </c>
      <c r="O408" s="6">
        <v>50.0</v>
      </c>
      <c r="P408" s="6">
        <v>85.0</v>
      </c>
      <c r="Q408" s="6">
        <v>80.0</v>
      </c>
      <c r="R408" s="6">
        <v>73.0</v>
      </c>
      <c r="S408" s="6">
        <v>82.0</v>
      </c>
      <c r="T408" s="6">
        <v>63.0</v>
      </c>
      <c r="U408" s="6">
        <v>35.0</v>
      </c>
      <c r="V408" s="6">
        <v>64.0</v>
      </c>
      <c r="W408" s="6">
        <v>75.0</v>
      </c>
      <c r="X408" s="6">
        <v>32.0</v>
      </c>
      <c r="AB408" s="6">
        <v>78.0</v>
      </c>
      <c r="AC408" s="6">
        <v>53.0</v>
      </c>
      <c r="AD408" s="6">
        <v>77.0</v>
      </c>
      <c r="AE408" s="6">
        <v>30.0</v>
      </c>
      <c r="AF408" s="6">
        <v>78.0</v>
      </c>
      <c r="AG408" s="6">
        <v>5.0</v>
      </c>
      <c r="AH408" s="6">
        <v>5.0</v>
      </c>
      <c r="AL408" s="6">
        <f t="shared" si="100"/>
        <v>23.38692532</v>
      </c>
      <c r="AN408" s="6"/>
      <c r="AO408" s="6"/>
      <c r="AQ408" s="6"/>
      <c r="AR408" s="6"/>
      <c r="AS408" s="6"/>
      <c r="AT408" s="6"/>
      <c r="AU408" s="6"/>
      <c r="AV408" s="6"/>
      <c r="AX408" s="6"/>
      <c r="AY408" s="6"/>
      <c r="AZ408" s="6"/>
      <c r="BA408" s="6"/>
      <c r="BB408" s="6"/>
      <c r="BC408" s="6"/>
      <c r="BE408" s="6">
        <f t="shared" si="101"/>
        <v>8.190591174</v>
      </c>
    </row>
    <row r="409">
      <c r="B409" s="8" t="s">
        <v>20</v>
      </c>
      <c r="C409" s="29">
        <v>1.0</v>
      </c>
      <c r="D409" s="29">
        <v>1.0</v>
      </c>
      <c r="E409" s="29">
        <v>5.0</v>
      </c>
      <c r="F409" s="29">
        <v>5.0</v>
      </c>
      <c r="G409" s="29">
        <v>5.0</v>
      </c>
      <c r="H409" s="29">
        <v>1.0</v>
      </c>
      <c r="I409" s="29">
        <v>3.0</v>
      </c>
      <c r="J409" s="29">
        <v>5.0</v>
      </c>
      <c r="K409" s="29">
        <v>5.0</v>
      </c>
      <c r="L409" s="29">
        <v>2.0</v>
      </c>
      <c r="M409" s="29">
        <v>5.0</v>
      </c>
      <c r="N409" s="29">
        <v>2.0</v>
      </c>
      <c r="O409" s="29">
        <v>5.0</v>
      </c>
      <c r="P409" s="29">
        <v>1.0</v>
      </c>
      <c r="Q409" s="29">
        <v>1.0</v>
      </c>
      <c r="R409" s="29">
        <v>1.0</v>
      </c>
      <c r="S409" s="29">
        <v>1.0</v>
      </c>
      <c r="T409" s="29">
        <v>2.0</v>
      </c>
      <c r="U409" s="29">
        <v>2.0</v>
      </c>
      <c r="V409" s="29">
        <v>5.0</v>
      </c>
      <c r="W409" s="29">
        <v>1.0</v>
      </c>
      <c r="X409" s="29">
        <v>1.0</v>
      </c>
      <c r="Y409" s="24"/>
      <c r="Z409" s="24"/>
      <c r="AA409" s="24"/>
      <c r="AB409" s="29">
        <v>2.0</v>
      </c>
      <c r="AC409" s="29">
        <v>2.0</v>
      </c>
      <c r="AD409" s="29">
        <v>3.0</v>
      </c>
      <c r="AE409" s="29">
        <v>1.0</v>
      </c>
      <c r="AF409" s="29">
        <v>2.0</v>
      </c>
      <c r="AG409" s="29">
        <v>2.0</v>
      </c>
      <c r="AH409" s="29">
        <v>2.0</v>
      </c>
      <c r="AL409" s="6">
        <f t="shared" si="100"/>
        <v>1.638514286</v>
      </c>
      <c r="AN409" s="29">
        <f>7-G409</f>
        <v>2</v>
      </c>
      <c r="AO409" s="29">
        <f>7-J409</f>
        <v>2</v>
      </c>
      <c r="AQ409" s="29">
        <f t="shared" ref="AQ409:AS409" si="136">E409</f>
        <v>5</v>
      </c>
      <c r="AR409" s="29">
        <f t="shared" si="136"/>
        <v>5</v>
      </c>
      <c r="AS409" s="29">
        <f t="shared" si="136"/>
        <v>5</v>
      </c>
      <c r="AT409" s="29">
        <f>sum(C409,D409,E409,AN409,H409,I409,AO409)</f>
        <v>15</v>
      </c>
      <c r="AU409" s="29">
        <f>sum(P409:T409)</f>
        <v>6</v>
      </c>
      <c r="AV409" s="29">
        <f>sum(U409:X409)</f>
        <v>9</v>
      </c>
      <c r="AX409" s="29">
        <f t="shared" ref="AX409:BA409" si="137">AQ409-AQ187</f>
        <v>2</v>
      </c>
      <c r="AY409" s="29">
        <f t="shared" si="137"/>
        <v>0</v>
      </c>
      <c r="AZ409" s="29">
        <f t="shared" si="137"/>
        <v>0</v>
      </c>
      <c r="BA409" s="29">
        <f t="shared" si="137"/>
        <v>3</v>
      </c>
      <c r="BB409" s="4"/>
      <c r="BC409" s="4"/>
      <c r="BE409" s="6">
        <f t="shared" si="101"/>
        <v>-0.164602884</v>
      </c>
    </row>
    <row r="410">
      <c r="C410" s="30">
        <v>19.0</v>
      </c>
      <c r="D410" s="30">
        <v>32.0</v>
      </c>
      <c r="E410" s="30">
        <v>12.0</v>
      </c>
      <c r="F410" s="30">
        <v>10.0</v>
      </c>
      <c r="G410" s="30">
        <v>23.0</v>
      </c>
      <c r="H410" s="30">
        <v>40.0</v>
      </c>
      <c r="I410" s="30">
        <v>31.0</v>
      </c>
      <c r="J410" s="30">
        <v>32.0</v>
      </c>
      <c r="K410" s="30">
        <v>29.0</v>
      </c>
      <c r="L410" s="30">
        <v>37.0</v>
      </c>
      <c r="M410" s="30">
        <v>40.0</v>
      </c>
      <c r="N410" s="30">
        <v>29.0</v>
      </c>
      <c r="O410" s="30">
        <v>46.0</v>
      </c>
      <c r="P410" s="30">
        <v>48.0</v>
      </c>
      <c r="Q410" s="30">
        <v>47.0</v>
      </c>
      <c r="R410" s="30">
        <v>46.0</v>
      </c>
      <c r="S410" s="30">
        <v>46.0</v>
      </c>
      <c r="T410" s="30">
        <v>30.0</v>
      </c>
      <c r="U410" s="30">
        <v>40.0</v>
      </c>
      <c r="V410" s="30">
        <v>41.0</v>
      </c>
      <c r="W410" s="30">
        <v>60.0</v>
      </c>
      <c r="X410" s="30">
        <v>58.0</v>
      </c>
      <c r="Y410" s="24"/>
      <c r="Z410" s="24"/>
      <c r="AA410" s="24"/>
      <c r="AB410" s="30">
        <v>54.0</v>
      </c>
      <c r="AC410" s="30">
        <v>54.0</v>
      </c>
      <c r="AD410" s="30">
        <v>41.0</v>
      </c>
      <c r="AE410" s="30">
        <v>50.0</v>
      </c>
      <c r="AF410" s="30">
        <v>44.0</v>
      </c>
      <c r="AG410" s="30">
        <v>48.0</v>
      </c>
      <c r="AH410" s="30">
        <v>43.0</v>
      </c>
      <c r="AL410" s="6">
        <f t="shared" si="100"/>
        <v>12.63634994</v>
      </c>
      <c r="AN410" s="6"/>
      <c r="AO410" s="6"/>
      <c r="AQ410" s="6"/>
      <c r="AR410" s="6"/>
      <c r="AS410" s="6"/>
      <c r="AT410" s="6"/>
      <c r="AU410" s="6"/>
      <c r="AV410" s="6"/>
      <c r="AX410" s="6"/>
      <c r="AY410" s="6"/>
      <c r="AZ410" s="6"/>
      <c r="BA410" s="6"/>
      <c r="BB410" s="6"/>
      <c r="BC410" s="6"/>
      <c r="BE410" s="6">
        <f t="shared" si="101"/>
        <v>-0.3276965874</v>
      </c>
    </row>
    <row r="411">
      <c r="B411" s="8" t="s">
        <v>21</v>
      </c>
      <c r="C411" s="29">
        <v>7.0</v>
      </c>
      <c r="D411" s="29">
        <v>5.0</v>
      </c>
      <c r="E411" s="29">
        <v>5.0</v>
      </c>
      <c r="F411" s="29">
        <v>1.0</v>
      </c>
      <c r="G411" s="29">
        <v>1.0</v>
      </c>
      <c r="H411" s="29">
        <v>7.0</v>
      </c>
      <c r="I411" s="29">
        <v>7.0</v>
      </c>
      <c r="J411" s="29">
        <v>2.0</v>
      </c>
      <c r="K411" s="29">
        <v>2.0</v>
      </c>
      <c r="L411" s="29">
        <v>7.0</v>
      </c>
      <c r="M411" s="29">
        <v>6.0</v>
      </c>
      <c r="N411" s="29">
        <v>6.0</v>
      </c>
      <c r="O411" s="29">
        <v>6.0</v>
      </c>
      <c r="P411" s="29">
        <v>5.0</v>
      </c>
      <c r="Q411" s="29">
        <v>2.0</v>
      </c>
      <c r="R411" s="29">
        <v>5.0</v>
      </c>
      <c r="S411" s="29">
        <v>2.0</v>
      </c>
      <c r="T411" s="29">
        <v>7.0</v>
      </c>
      <c r="U411" s="29">
        <v>6.0</v>
      </c>
      <c r="V411" s="29">
        <v>6.0</v>
      </c>
      <c r="W411" s="29">
        <v>6.0</v>
      </c>
      <c r="X411" s="29">
        <v>7.0</v>
      </c>
      <c r="Y411" s="24"/>
      <c r="Z411" s="24"/>
      <c r="AA411" s="24"/>
      <c r="AB411" s="29">
        <v>5.0</v>
      </c>
      <c r="AC411" s="29">
        <v>6.0</v>
      </c>
      <c r="AD411" s="29">
        <v>6.0</v>
      </c>
      <c r="AE411" s="29">
        <v>5.0</v>
      </c>
      <c r="AF411" s="29">
        <v>6.0</v>
      </c>
      <c r="AG411" s="29">
        <v>7.0</v>
      </c>
      <c r="AH411" s="29">
        <v>6.0</v>
      </c>
      <c r="AL411" s="6">
        <f t="shared" si="100"/>
        <v>1.940620997</v>
      </c>
      <c r="AN411" s="29">
        <f>7-G411</f>
        <v>6</v>
      </c>
      <c r="AO411" s="29">
        <f>7-J411</f>
        <v>5</v>
      </c>
      <c r="AQ411" s="29">
        <f t="shared" ref="AQ411:AS411" si="138">E411</f>
        <v>5</v>
      </c>
      <c r="AR411" s="29">
        <f t="shared" si="138"/>
        <v>1</v>
      </c>
      <c r="AS411" s="29">
        <f t="shared" si="138"/>
        <v>1</v>
      </c>
      <c r="AT411" s="29">
        <f>sum(C411,D411,E411,AN411,H411,I411,AO411)</f>
        <v>42</v>
      </c>
      <c r="AU411" s="29">
        <f>sum(P411:T411)</f>
        <v>21</v>
      </c>
      <c r="AV411" s="29">
        <f>sum(U411:X411)</f>
        <v>25</v>
      </c>
      <c r="AX411" s="29">
        <f t="shared" ref="AX411:BA411" si="139">AQ411-AQ189</f>
        <v>4</v>
      </c>
      <c r="AY411" s="29">
        <f t="shared" si="139"/>
        <v>0</v>
      </c>
      <c r="AZ411" s="29">
        <f t="shared" si="139"/>
        <v>0</v>
      </c>
      <c r="BA411" s="29">
        <f t="shared" si="139"/>
        <v>5</v>
      </c>
      <c r="BB411" s="4"/>
      <c r="BC411" s="4"/>
      <c r="BE411" s="6">
        <f t="shared" si="101"/>
        <v>-0.3781819901</v>
      </c>
    </row>
    <row r="412">
      <c r="C412" s="30">
        <v>90.0</v>
      </c>
      <c r="D412" s="30">
        <v>90.0</v>
      </c>
      <c r="E412" s="30">
        <v>90.0</v>
      </c>
      <c r="F412" s="30">
        <v>90.0</v>
      </c>
      <c r="G412" s="30">
        <v>90.0</v>
      </c>
      <c r="H412" s="30">
        <v>90.0</v>
      </c>
      <c r="I412" s="30">
        <v>90.0</v>
      </c>
      <c r="J412" s="30">
        <v>90.0</v>
      </c>
      <c r="K412" s="30">
        <v>90.0</v>
      </c>
      <c r="L412" s="30">
        <v>90.0</v>
      </c>
      <c r="M412" s="30">
        <v>90.0</v>
      </c>
      <c r="N412" s="30">
        <v>90.0</v>
      </c>
      <c r="O412" s="30">
        <v>90.0</v>
      </c>
      <c r="P412" s="30">
        <v>90.0</v>
      </c>
      <c r="Q412" s="30">
        <v>90.0</v>
      </c>
      <c r="R412" s="30">
        <v>90.0</v>
      </c>
      <c r="S412" s="30">
        <v>90.0</v>
      </c>
      <c r="T412" s="30">
        <v>90.0</v>
      </c>
      <c r="U412" s="30">
        <v>90.0</v>
      </c>
      <c r="V412" s="30">
        <v>90.0</v>
      </c>
      <c r="W412" s="30">
        <v>90.0</v>
      </c>
      <c r="X412" s="30">
        <v>90.0</v>
      </c>
      <c r="Y412" s="29"/>
      <c r="Z412" s="29"/>
      <c r="AA412" s="29"/>
      <c r="AB412" s="30">
        <v>90.0</v>
      </c>
      <c r="AC412" s="30">
        <v>90.0</v>
      </c>
      <c r="AD412" s="30">
        <v>90.0</v>
      </c>
      <c r="AE412" s="30">
        <v>90.0</v>
      </c>
      <c r="AF412" s="30">
        <v>90.0</v>
      </c>
      <c r="AG412" s="30">
        <v>90.0</v>
      </c>
      <c r="AH412" s="30">
        <v>90.0</v>
      </c>
      <c r="AL412" s="6">
        <f t="shared" si="100"/>
        <v>0</v>
      </c>
      <c r="AN412" s="6"/>
      <c r="AO412" s="6"/>
      <c r="AQ412" s="6"/>
      <c r="AR412" s="6"/>
      <c r="AS412" s="6"/>
      <c r="AT412" s="6"/>
      <c r="AU412" s="6"/>
      <c r="AV412" s="6"/>
      <c r="AX412" s="6"/>
      <c r="AY412" s="6"/>
      <c r="AZ412" s="6"/>
      <c r="BA412" s="6"/>
      <c r="BB412" s="6"/>
      <c r="BC412" s="6"/>
      <c r="BE412" s="6">
        <f t="shared" si="101"/>
        <v>-7.891739773</v>
      </c>
    </row>
    <row r="413">
      <c r="B413" s="8" t="s">
        <v>22</v>
      </c>
      <c r="C413" s="29">
        <v>3.0</v>
      </c>
      <c r="D413" s="29">
        <v>5.0</v>
      </c>
      <c r="E413" s="29">
        <v>6.0</v>
      </c>
      <c r="F413" s="29">
        <v>5.0</v>
      </c>
      <c r="G413" s="29">
        <v>2.0</v>
      </c>
      <c r="H413" s="29">
        <v>2.0</v>
      </c>
      <c r="I413" s="29">
        <v>5.0</v>
      </c>
      <c r="J413" s="29">
        <v>3.0</v>
      </c>
      <c r="K413" s="29">
        <v>2.0</v>
      </c>
      <c r="L413" s="29">
        <v>6.0</v>
      </c>
      <c r="M413" s="29">
        <v>6.0</v>
      </c>
      <c r="N413" s="29">
        <v>6.0</v>
      </c>
      <c r="O413" s="29">
        <v>5.0</v>
      </c>
      <c r="P413" s="29">
        <v>2.0</v>
      </c>
      <c r="Q413" s="29">
        <v>2.0</v>
      </c>
      <c r="R413" s="29">
        <v>3.0</v>
      </c>
      <c r="S413" s="29">
        <v>2.0</v>
      </c>
      <c r="T413" s="29">
        <v>2.0</v>
      </c>
      <c r="U413" s="29">
        <v>6.0</v>
      </c>
      <c r="V413" s="29">
        <v>5.0</v>
      </c>
      <c r="W413" s="29">
        <v>6.0</v>
      </c>
      <c r="X413" s="29">
        <v>5.0</v>
      </c>
      <c r="Y413" s="24"/>
      <c r="Z413" s="24"/>
      <c r="AA413" s="24"/>
      <c r="AB413" s="29">
        <v>2.0</v>
      </c>
      <c r="AC413" s="29">
        <v>2.0</v>
      </c>
      <c r="AD413" s="29">
        <v>2.0</v>
      </c>
      <c r="AE413" s="29">
        <v>5.0</v>
      </c>
      <c r="AF413" s="29">
        <v>5.0</v>
      </c>
      <c r="AG413" s="29">
        <v>2.0</v>
      </c>
      <c r="AH413" s="29">
        <v>5.0</v>
      </c>
      <c r="AL413" s="6">
        <f t="shared" si="100"/>
        <v>1.684469775</v>
      </c>
      <c r="AN413" s="29">
        <f>7-G413</f>
        <v>5</v>
      </c>
      <c r="AO413" s="29">
        <f>7-J413</f>
        <v>4</v>
      </c>
      <c r="AQ413" s="29">
        <f t="shared" ref="AQ413:AS413" si="140">E413</f>
        <v>6</v>
      </c>
      <c r="AR413" s="29">
        <f t="shared" si="140"/>
        <v>5</v>
      </c>
      <c r="AS413" s="29">
        <f t="shared" si="140"/>
        <v>2</v>
      </c>
      <c r="AT413" s="29">
        <f>sum(C413,D413,E413,AN413,H413,I413,AO413)</f>
        <v>30</v>
      </c>
      <c r="AU413" s="29">
        <f>sum(P413:T413)</f>
        <v>11</v>
      </c>
      <c r="AV413" s="29">
        <f>sum(U413:X413)</f>
        <v>22</v>
      </c>
      <c r="AX413" s="29">
        <f t="shared" ref="AX413:BA413" si="141">AQ413-AQ191</f>
        <v>1</v>
      </c>
      <c r="AY413" s="29">
        <f t="shared" si="141"/>
        <v>-1</v>
      </c>
      <c r="AZ413" s="29">
        <f t="shared" si="141"/>
        <v>-1</v>
      </c>
      <c r="BA413" s="29">
        <f t="shared" si="141"/>
        <v>7</v>
      </c>
      <c r="BB413" s="4"/>
      <c r="BC413" s="4"/>
      <c r="BE413" s="6">
        <f t="shared" si="101"/>
        <v>-0.04544664976</v>
      </c>
    </row>
    <row r="414">
      <c r="C414" s="30">
        <v>75.0</v>
      </c>
      <c r="D414" s="30">
        <v>67.5</v>
      </c>
      <c r="E414" s="30">
        <v>81.0</v>
      </c>
      <c r="F414" s="30">
        <v>81.0</v>
      </c>
      <c r="G414" s="30">
        <v>76.5</v>
      </c>
      <c r="H414" s="30">
        <v>90.0</v>
      </c>
      <c r="I414" s="30">
        <v>87.0</v>
      </c>
      <c r="J414" s="30">
        <v>84.0</v>
      </c>
      <c r="K414" s="30">
        <v>90.0</v>
      </c>
      <c r="L414" s="30">
        <v>75.0</v>
      </c>
      <c r="M414" s="30">
        <v>75.0</v>
      </c>
      <c r="N414" s="30">
        <v>90.0</v>
      </c>
      <c r="O414" s="30">
        <v>75.0</v>
      </c>
      <c r="P414" s="30">
        <v>75.0</v>
      </c>
      <c r="Q414" s="30">
        <v>82.5</v>
      </c>
      <c r="R414" s="30">
        <v>84.0</v>
      </c>
      <c r="S414" s="30">
        <v>84.0</v>
      </c>
      <c r="T414" s="30">
        <v>84.0</v>
      </c>
      <c r="U414" s="30">
        <v>84.0</v>
      </c>
      <c r="V414" s="30">
        <v>81.0</v>
      </c>
      <c r="W414" s="30">
        <v>84.0</v>
      </c>
      <c r="X414" s="30">
        <v>70.5</v>
      </c>
      <c r="Y414" s="29"/>
      <c r="Z414" s="29"/>
      <c r="AA414" s="29"/>
      <c r="AB414" s="30">
        <v>127.5</v>
      </c>
      <c r="AC414" s="30">
        <v>81.0</v>
      </c>
      <c r="AD414" s="30">
        <v>79.5</v>
      </c>
      <c r="AE414" s="30">
        <v>84.0</v>
      </c>
      <c r="AF414" s="30">
        <v>81.0</v>
      </c>
      <c r="AG414" s="30">
        <v>82.5</v>
      </c>
      <c r="AH414" s="30">
        <v>81.0</v>
      </c>
      <c r="AL414" s="6">
        <f t="shared" si="100"/>
        <v>10.24433641</v>
      </c>
      <c r="AN414" s="6"/>
      <c r="AO414" s="6"/>
      <c r="AQ414" s="6"/>
      <c r="AR414" s="6"/>
      <c r="AS414" s="6"/>
      <c r="AT414" s="6"/>
      <c r="AU414" s="6"/>
      <c r="AV414" s="6"/>
      <c r="AX414" s="6"/>
      <c r="AY414" s="6"/>
      <c r="AZ414" s="6"/>
      <c r="BA414" s="6"/>
      <c r="BB414" s="6"/>
      <c r="BC414" s="6"/>
      <c r="BE414" s="6">
        <f t="shared" si="101"/>
        <v>3.001835622</v>
      </c>
    </row>
    <row r="415">
      <c r="B415" s="9" t="s">
        <v>23</v>
      </c>
      <c r="C415" s="29">
        <v>5.0</v>
      </c>
      <c r="D415" s="29">
        <v>3.0</v>
      </c>
      <c r="E415" s="29">
        <v>5.0</v>
      </c>
      <c r="F415" s="29">
        <v>4.0</v>
      </c>
      <c r="G415" s="29">
        <v>3.0</v>
      </c>
      <c r="H415" s="29">
        <v>4.0</v>
      </c>
      <c r="I415" s="29">
        <v>6.0</v>
      </c>
      <c r="J415" s="29">
        <v>3.0</v>
      </c>
      <c r="K415" s="29">
        <v>2.0</v>
      </c>
      <c r="L415" s="29">
        <v>4.0</v>
      </c>
      <c r="M415" s="29">
        <v>5.0</v>
      </c>
      <c r="N415" s="29">
        <v>3.0</v>
      </c>
      <c r="O415" s="29">
        <v>5.0</v>
      </c>
      <c r="P415" s="29">
        <v>1.0</v>
      </c>
      <c r="Q415" s="29">
        <v>4.0</v>
      </c>
      <c r="R415" s="29">
        <v>4.0</v>
      </c>
      <c r="S415" s="29">
        <v>4.0</v>
      </c>
      <c r="T415" s="29">
        <v>1.0</v>
      </c>
      <c r="U415" s="29">
        <v>4.0</v>
      </c>
      <c r="V415" s="29">
        <v>5.0</v>
      </c>
      <c r="W415" s="29">
        <v>1.0</v>
      </c>
      <c r="X415" s="29">
        <v>5.0</v>
      </c>
      <c r="Y415" s="24"/>
      <c r="Z415" s="24"/>
      <c r="AA415" s="24"/>
      <c r="AB415" s="29">
        <v>2.0</v>
      </c>
      <c r="AC415" s="29">
        <v>2.0</v>
      </c>
      <c r="AD415" s="29">
        <v>2.0</v>
      </c>
      <c r="AE415" s="29">
        <v>2.0</v>
      </c>
      <c r="AF415" s="29">
        <v>2.0</v>
      </c>
      <c r="AG415" s="29">
        <v>6.0</v>
      </c>
      <c r="AH415" s="29">
        <v>2.0</v>
      </c>
      <c r="AL415" s="6">
        <f t="shared" si="100"/>
        <v>1.500410453</v>
      </c>
      <c r="AN415" s="29">
        <f>7-G415</f>
        <v>4</v>
      </c>
      <c r="AO415" s="29">
        <f>7-J415</f>
        <v>4</v>
      </c>
      <c r="AQ415" s="29">
        <f t="shared" ref="AQ415:AS415" si="142">E415</f>
        <v>5</v>
      </c>
      <c r="AR415" s="29">
        <f t="shared" si="142"/>
        <v>4</v>
      </c>
      <c r="AS415" s="29">
        <f t="shared" si="142"/>
        <v>3</v>
      </c>
      <c r="AT415" s="29">
        <f>sum(C415,D415,E415,AN415,H415,I415,AO415)</f>
        <v>31</v>
      </c>
      <c r="AU415" s="29">
        <f>sum(P415:T415)</f>
        <v>14</v>
      </c>
      <c r="AV415" s="29">
        <f>sum(U415:X415)</f>
        <v>15</v>
      </c>
      <c r="AX415" s="29">
        <f t="shared" ref="AX415:BA415" si="143">AQ415-AQ193</f>
        <v>-1</v>
      </c>
      <c r="AY415" s="29">
        <f t="shared" si="143"/>
        <v>3</v>
      </c>
      <c r="AZ415" s="29">
        <f t="shared" si="143"/>
        <v>0</v>
      </c>
      <c r="BA415" s="29">
        <f t="shared" si="143"/>
        <v>5</v>
      </c>
      <c r="BB415" s="4"/>
      <c r="BC415" s="4"/>
      <c r="BE415" s="6">
        <f t="shared" si="101"/>
        <v>-0.4011056651</v>
      </c>
    </row>
    <row r="416">
      <c r="C416" s="30">
        <v>60.0</v>
      </c>
      <c r="D416" s="30">
        <v>52.5</v>
      </c>
      <c r="E416" s="30">
        <v>60.0</v>
      </c>
      <c r="F416" s="30">
        <v>10.5</v>
      </c>
      <c r="G416" s="30">
        <v>39.0</v>
      </c>
      <c r="H416" s="30">
        <v>45.0</v>
      </c>
      <c r="I416" s="30">
        <v>52.5</v>
      </c>
      <c r="J416" s="30">
        <v>37.5</v>
      </c>
      <c r="K416" s="30">
        <v>69.0</v>
      </c>
      <c r="L416" s="30">
        <v>43.5</v>
      </c>
      <c r="M416" s="30">
        <v>51.0</v>
      </c>
      <c r="N416" s="30">
        <v>63.0</v>
      </c>
      <c r="O416" s="30">
        <v>55.5</v>
      </c>
      <c r="P416" s="30">
        <v>69.0</v>
      </c>
      <c r="Q416" s="30">
        <v>60.0</v>
      </c>
      <c r="R416" s="30">
        <v>42.0</v>
      </c>
      <c r="S416" s="30">
        <v>43.5</v>
      </c>
      <c r="T416" s="30">
        <v>52.5</v>
      </c>
      <c r="U416" s="30">
        <v>52.5</v>
      </c>
      <c r="V416" s="30">
        <v>49.5</v>
      </c>
      <c r="W416" s="30">
        <v>54.0</v>
      </c>
      <c r="X416" s="30">
        <v>52.5</v>
      </c>
      <c r="Y416" s="29"/>
      <c r="Z416" s="29"/>
      <c r="AA416" s="29"/>
      <c r="AB416" s="30">
        <v>48.0</v>
      </c>
      <c r="AC416" s="30">
        <v>57.0</v>
      </c>
      <c r="AD416" s="30">
        <v>51.0</v>
      </c>
      <c r="AE416" s="30">
        <v>52.5</v>
      </c>
      <c r="AF416" s="30">
        <v>57.0</v>
      </c>
      <c r="AG416" s="30">
        <v>55.5</v>
      </c>
      <c r="AH416" s="30">
        <v>39.0</v>
      </c>
      <c r="AL416" s="6">
        <f t="shared" si="100"/>
        <v>11.21311688</v>
      </c>
      <c r="AN416" s="6"/>
      <c r="AO416" s="6"/>
      <c r="AQ416" s="6"/>
      <c r="AR416" s="6"/>
      <c r="AS416" s="6"/>
      <c r="AT416" s="6"/>
      <c r="AU416" s="6"/>
      <c r="AV416" s="6"/>
      <c r="AX416" s="6"/>
      <c r="AY416" s="6"/>
      <c r="AZ416" s="6"/>
      <c r="BA416" s="6"/>
      <c r="BB416" s="6"/>
      <c r="BC416" s="6"/>
      <c r="BE416" s="6">
        <f t="shared" si="101"/>
        <v>-0.6498631665</v>
      </c>
    </row>
    <row r="417">
      <c r="B417" s="9" t="s">
        <v>24</v>
      </c>
      <c r="C417" s="29">
        <v>2.0</v>
      </c>
      <c r="D417" s="29">
        <v>2.0</v>
      </c>
      <c r="E417" s="29">
        <v>2.0</v>
      </c>
      <c r="F417" s="29">
        <v>2.0</v>
      </c>
      <c r="G417" s="29">
        <v>6.0</v>
      </c>
      <c r="H417" s="29">
        <v>2.0</v>
      </c>
      <c r="I417" s="29">
        <v>2.0</v>
      </c>
      <c r="J417" s="29">
        <v>6.0</v>
      </c>
      <c r="K417" s="29">
        <v>2.0</v>
      </c>
      <c r="L417" s="29">
        <v>2.0</v>
      </c>
      <c r="M417" s="29">
        <v>6.0</v>
      </c>
      <c r="N417" s="29">
        <v>6.0</v>
      </c>
      <c r="O417" s="29">
        <v>2.0</v>
      </c>
      <c r="P417" s="29">
        <v>2.0</v>
      </c>
      <c r="Q417" s="29">
        <v>2.0</v>
      </c>
      <c r="R417" s="29">
        <v>2.0</v>
      </c>
      <c r="S417" s="29">
        <v>2.0</v>
      </c>
      <c r="T417" s="29">
        <v>2.0</v>
      </c>
      <c r="U417" s="29">
        <v>1.0</v>
      </c>
      <c r="V417" s="29">
        <v>6.0</v>
      </c>
      <c r="W417" s="29">
        <v>2.0</v>
      </c>
      <c r="X417" s="29">
        <v>2.0</v>
      </c>
      <c r="Y417" s="24"/>
      <c r="Z417" s="24"/>
      <c r="AA417" s="24"/>
      <c r="AB417" s="29">
        <v>1.0</v>
      </c>
      <c r="AC417" s="29">
        <v>1.0</v>
      </c>
      <c r="AD417" s="29">
        <v>1.0</v>
      </c>
      <c r="AE417" s="29">
        <v>1.0</v>
      </c>
      <c r="AF417" s="29">
        <v>2.0</v>
      </c>
      <c r="AG417" s="29">
        <v>1.0</v>
      </c>
      <c r="AH417" s="29">
        <v>2.0</v>
      </c>
      <c r="AL417" s="6">
        <f t="shared" si="100"/>
        <v>1.682275025</v>
      </c>
      <c r="AN417" s="29">
        <f>7-G417</f>
        <v>1</v>
      </c>
      <c r="AO417" s="29">
        <f>7-J417</f>
        <v>1</v>
      </c>
      <c r="AQ417" s="29">
        <f t="shared" ref="AQ417:AS417" si="144">E417</f>
        <v>2</v>
      </c>
      <c r="AR417" s="29">
        <f t="shared" si="144"/>
        <v>2</v>
      </c>
      <c r="AS417" s="29">
        <f t="shared" si="144"/>
        <v>6</v>
      </c>
      <c r="AT417" s="29">
        <f>sum(C417,D417,E417,AN417,H417,I417,AO417)</f>
        <v>12</v>
      </c>
      <c r="AU417" s="29">
        <f>sum(P417:T417)</f>
        <v>10</v>
      </c>
      <c r="AV417" s="29">
        <f>sum(U417:X417)</f>
        <v>11</v>
      </c>
      <c r="AX417" s="29">
        <f t="shared" ref="AX417:BA417" si="145">AQ417-AQ195</f>
        <v>0</v>
      </c>
      <c r="AY417" s="29">
        <f t="shared" si="145"/>
        <v>0</v>
      </c>
      <c r="AZ417" s="29">
        <f t="shared" si="145"/>
        <v>0</v>
      </c>
      <c r="BA417" s="29">
        <f t="shared" si="145"/>
        <v>0</v>
      </c>
      <c r="BB417" s="4"/>
      <c r="BC417" s="4"/>
      <c r="BE417" s="6">
        <f t="shared" si="101"/>
        <v>0.06570442916</v>
      </c>
    </row>
    <row r="418">
      <c r="C418" s="30">
        <v>82.5</v>
      </c>
      <c r="D418" s="30">
        <v>81.0</v>
      </c>
      <c r="E418" s="30">
        <v>78.0</v>
      </c>
      <c r="F418" s="30">
        <v>73.5</v>
      </c>
      <c r="G418" s="30">
        <v>78.0</v>
      </c>
      <c r="H418" s="30">
        <v>75.0</v>
      </c>
      <c r="I418" s="30">
        <v>75.0</v>
      </c>
      <c r="J418" s="30">
        <v>78.0</v>
      </c>
      <c r="K418" s="30">
        <v>78.0</v>
      </c>
      <c r="L418" s="30">
        <v>76.5</v>
      </c>
      <c r="M418" s="30">
        <v>76.5</v>
      </c>
      <c r="N418" s="30">
        <v>84.0</v>
      </c>
      <c r="O418" s="30">
        <v>45.0</v>
      </c>
      <c r="P418" s="30">
        <v>82.5</v>
      </c>
      <c r="Q418" s="30">
        <v>76.5</v>
      </c>
      <c r="R418" s="30">
        <v>79.5</v>
      </c>
      <c r="S418" s="30">
        <v>46.5</v>
      </c>
      <c r="T418" s="30">
        <v>78.0</v>
      </c>
      <c r="U418" s="30">
        <v>84.0</v>
      </c>
      <c r="V418" s="30">
        <v>78.0</v>
      </c>
      <c r="W418" s="30">
        <v>79.5</v>
      </c>
      <c r="X418" s="30">
        <v>81.0</v>
      </c>
      <c r="Y418" s="29"/>
      <c r="Z418" s="29"/>
      <c r="AA418" s="29"/>
      <c r="AB418" s="30">
        <v>75.0</v>
      </c>
      <c r="AC418" s="30">
        <v>79.5</v>
      </c>
      <c r="AD418" s="30">
        <v>78.0</v>
      </c>
      <c r="AE418" s="30">
        <v>75.0</v>
      </c>
      <c r="AF418" s="30">
        <v>37.5</v>
      </c>
      <c r="AG418" s="30">
        <v>84.0</v>
      </c>
      <c r="AH418" s="30">
        <v>69.0</v>
      </c>
      <c r="AL418" s="6">
        <f t="shared" si="100"/>
        <v>11.51233543</v>
      </c>
      <c r="AN418" s="6"/>
      <c r="AO418" s="6"/>
      <c r="AQ418" s="6"/>
      <c r="AR418" s="6"/>
      <c r="AS418" s="6"/>
      <c r="AT418" s="6"/>
      <c r="AU418" s="6"/>
      <c r="AV418" s="6"/>
      <c r="AX418" s="6"/>
      <c r="AY418" s="6"/>
      <c r="AZ418" s="6"/>
      <c r="BA418" s="6"/>
      <c r="BB418" s="6"/>
      <c r="BC418" s="6"/>
      <c r="BE418" s="6">
        <f t="shared" si="101"/>
        <v>-0.3979666496</v>
      </c>
    </row>
    <row r="419">
      <c r="B419" s="9" t="s">
        <v>25</v>
      </c>
      <c r="C419" s="29">
        <v>2.0</v>
      </c>
      <c r="D419" s="29">
        <v>1.0</v>
      </c>
      <c r="E419" s="29">
        <v>1.0</v>
      </c>
      <c r="F419" s="29">
        <v>2.0</v>
      </c>
      <c r="G419" s="29">
        <v>6.0</v>
      </c>
      <c r="H419" s="29">
        <v>1.0</v>
      </c>
      <c r="I419" s="29">
        <v>2.0</v>
      </c>
      <c r="J419" s="29">
        <v>3.0</v>
      </c>
      <c r="K419" s="29">
        <v>1.0</v>
      </c>
      <c r="L419" s="29">
        <v>4.0</v>
      </c>
      <c r="M419" s="29">
        <v>6.0</v>
      </c>
      <c r="N419" s="29">
        <v>7.0</v>
      </c>
      <c r="O419" s="29">
        <v>1.0</v>
      </c>
      <c r="P419" s="29">
        <v>1.0</v>
      </c>
      <c r="Q419" s="29">
        <v>1.0</v>
      </c>
      <c r="R419" s="29">
        <v>1.0</v>
      </c>
      <c r="S419" s="29">
        <v>2.0</v>
      </c>
      <c r="T419" s="29">
        <v>1.0</v>
      </c>
      <c r="U419" s="29">
        <v>2.0</v>
      </c>
      <c r="V419" s="29">
        <v>2.0</v>
      </c>
      <c r="W419" s="29">
        <v>1.0</v>
      </c>
      <c r="X419" s="29">
        <v>1.0</v>
      </c>
      <c r="Y419" s="24"/>
      <c r="Z419" s="24"/>
      <c r="AA419" s="24"/>
      <c r="AB419" s="29">
        <v>1.0</v>
      </c>
      <c r="AC419" s="29">
        <v>1.0</v>
      </c>
      <c r="AD419" s="29">
        <v>1.0</v>
      </c>
      <c r="AE419" s="29">
        <v>1.0</v>
      </c>
      <c r="AF419" s="29">
        <v>1.0</v>
      </c>
      <c r="AG419" s="29">
        <v>1.0</v>
      </c>
      <c r="AH419" s="29">
        <v>1.0</v>
      </c>
      <c r="AL419" s="6">
        <f t="shared" si="100"/>
        <v>1.688850718</v>
      </c>
      <c r="AN419" s="29">
        <f>7-G419</f>
        <v>1</v>
      </c>
      <c r="AO419" s="29">
        <f>7-J419</f>
        <v>4</v>
      </c>
      <c r="AQ419" s="29">
        <f t="shared" ref="AQ419:AS419" si="146">E419</f>
        <v>1</v>
      </c>
      <c r="AR419" s="29">
        <f t="shared" si="146"/>
        <v>2</v>
      </c>
      <c r="AS419" s="29">
        <f t="shared" si="146"/>
        <v>6</v>
      </c>
      <c r="AT419" s="29">
        <f>sum(C419,D419,E419,AN419,H419,I419,AO419)</f>
        <v>12</v>
      </c>
      <c r="AU419" s="29">
        <f>sum(P419:T419)</f>
        <v>6</v>
      </c>
      <c r="AV419" s="29">
        <f>sum(U419:X419)</f>
        <v>6</v>
      </c>
      <c r="AX419" s="29">
        <f t="shared" ref="AX419:BA419" si="147">AQ419-AQ197</f>
        <v>0</v>
      </c>
      <c r="AY419" s="29">
        <f t="shared" si="147"/>
        <v>0</v>
      </c>
      <c r="AZ419" s="29">
        <f t="shared" si="147"/>
        <v>0</v>
      </c>
      <c r="BA419" s="29">
        <f t="shared" si="147"/>
        <v>-1</v>
      </c>
      <c r="BB419" s="4"/>
      <c r="BC419" s="4"/>
      <c r="BE419" s="6">
        <f t="shared" si="101"/>
        <v>-0.05029577979</v>
      </c>
    </row>
    <row r="420">
      <c r="C420" s="30">
        <v>90.0</v>
      </c>
      <c r="D420" s="30">
        <v>84.0</v>
      </c>
      <c r="E420" s="30">
        <v>84.0</v>
      </c>
      <c r="F420" s="30">
        <v>60.0</v>
      </c>
      <c r="G420" s="30">
        <v>61.5</v>
      </c>
      <c r="H420" s="30">
        <v>82.5</v>
      </c>
      <c r="I420" s="30">
        <v>85.5</v>
      </c>
      <c r="J420" s="30">
        <v>67.5</v>
      </c>
      <c r="K420" s="30">
        <v>81.0</v>
      </c>
      <c r="L420" s="30">
        <v>54.0</v>
      </c>
      <c r="M420" s="30">
        <v>79.5</v>
      </c>
      <c r="N420" s="30">
        <v>82.5</v>
      </c>
      <c r="O420" s="30">
        <v>84.0</v>
      </c>
      <c r="P420" s="30">
        <v>85.5</v>
      </c>
      <c r="Q420" s="30">
        <v>87.0</v>
      </c>
      <c r="R420" s="30">
        <v>84.0</v>
      </c>
      <c r="S420" s="30">
        <v>82.5</v>
      </c>
      <c r="T420" s="30">
        <v>82.5</v>
      </c>
      <c r="U420" s="30">
        <v>78.0</v>
      </c>
      <c r="V420" s="30">
        <v>82.5</v>
      </c>
      <c r="W420" s="30">
        <v>87.0</v>
      </c>
      <c r="X420" s="30">
        <v>85.5</v>
      </c>
      <c r="Y420" s="29"/>
      <c r="Z420" s="29"/>
      <c r="AA420" s="29"/>
      <c r="AB420" s="30">
        <v>85.5</v>
      </c>
      <c r="AC420" s="30">
        <v>85.5</v>
      </c>
      <c r="AD420" s="30">
        <v>85.5</v>
      </c>
      <c r="AE420" s="30">
        <v>87.0</v>
      </c>
      <c r="AF420" s="30">
        <v>88.5</v>
      </c>
      <c r="AG420" s="30">
        <v>85.5</v>
      </c>
      <c r="AH420" s="30">
        <v>84.0</v>
      </c>
      <c r="AL420" s="6">
        <f t="shared" si="100"/>
        <v>8.837197469</v>
      </c>
      <c r="AN420" s="6"/>
      <c r="AO420" s="6"/>
      <c r="AQ420" s="6"/>
      <c r="AR420" s="6"/>
      <c r="AS420" s="6"/>
      <c r="AT420" s="6"/>
      <c r="AU420" s="6"/>
      <c r="AV420" s="6"/>
      <c r="AX420" s="6"/>
      <c r="AY420" s="6"/>
      <c r="AZ420" s="6"/>
      <c r="BA420" s="6"/>
      <c r="BB420" s="6"/>
      <c r="BC420" s="6"/>
      <c r="BE420" s="6">
        <f t="shared" si="101"/>
        <v>-131.3205361</v>
      </c>
    </row>
    <row r="421">
      <c r="B421" s="9" t="s">
        <v>26</v>
      </c>
      <c r="C421" s="29">
        <v>6.0</v>
      </c>
      <c r="D421" s="29">
        <v>6.0</v>
      </c>
      <c r="E421" s="29">
        <v>6.0</v>
      </c>
      <c r="F421" s="29">
        <v>6.0</v>
      </c>
      <c r="G421" s="29">
        <v>7.0</v>
      </c>
      <c r="H421" s="29">
        <v>7.0</v>
      </c>
      <c r="I421" s="29">
        <v>7.0</v>
      </c>
      <c r="J421" s="29">
        <v>7.0</v>
      </c>
      <c r="K421" s="29">
        <v>2.0</v>
      </c>
      <c r="L421" s="29">
        <v>2.0</v>
      </c>
      <c r="M421" s="29">
        <v>1.0</v>
      </c>
      <c r="N421" s="29">
        <v>6.0</v>
      </c>
      <c r="O421" s="29">
        <v>6.0</v>
      </c>
      <c r="P421" s="29">
        <v>1.0</v>
      </c>
      <c r="Q421" s="29">
        <v>1.0</v>
      </c>
      <c r="R421" s="29">
        <v>1.0</v>
      </c>
      <c r="S421" s="29">
        <v>1.0</v>
      </c>
      <c r="T421" s="29">
        <v>6.0</v>
      </c>
      <c r="U421" s="29">
        <v>2.0</v>
      </c>
      <c r="V421" s="29">
        <v>7.0</v>
      </c>
      <c r="W421" s="29">
        <v>6.0</v>
      </c>
      <c r="X421" s="29">
        <v>6.0</v>
      </c>
      <c r="Y421" s="24"/>
      <c r="Z421" s="24"/>
      <c r="AA421" s="24"/>
      <c r="AB421" s="29">
        <v>7.0</v>
      </c>
      <c r="AC421" s="29">
        <v>7.0</v>
      </c>
      <c r="AD421" s="29">
        <v>2.0</v>
      </c>
      <c r="AE421" s="29">
        <v>3.0</v>
      </c>
      <c r="AF421" s="29">
        <v>1.0</v>
      </c>
      <c r="AG421" s="29">
        <v>1.0</v>
      </c>
      <c r="AH421" s="29">
        <v>2.0</v>
      </c>
      <c r="AL421" s="6">
        <f t="shared" si="100"/>
        <v>2.544674725</v>
      </c>
      <c r="AN421" s="29">
        <f>7-G421</f>
        <v>0</v>
      </c>
      <c r="AO421" s="29">
        <f>7-J421</f>
        <v>0</v>
      </c>
      <c r="AQ421" s="29">
        <f t="shared" ref="AQ421:AS421" si="148">E421</f>
        <v>6</v>
      </c>
      <c r="AR421" s="29">
        <f t="shared" si="148"/>
        <v>6</v>
      </c>
      <c r="AS421" s="29">
        <f t="shared" si="148"/>
        <v>7</v>
      </c>
      <c r="AT421" s="29">
        <f>sum(C421,D421,E421,AN421,H421,I421,AO421)</f>
        <v>32</v>
      </c>
      <c r="AU421" s="29">
        <f>sum(P421:T421)</f>
        <v>10</v>
      </c>
      <c r="AV421" s="29">
        <f>sum(U421:X421)</f>
        <v>21</v>
      </c>
      <c r="AX421" s="29">
        <f t="shared" ref="AX421:BA421" si="149">AQ421-AQ199</f>
        <v>5</v>
      </c>
      <c r="AY421" s="29">
        <f t="shared" si="149"/>
        <v>-1</v>
      </c>
      <c r="AZ421" s="29">
        <f t="shared" si="149"/>
        <v>0</v>
      </c>
      <c r="BA421" s="29">
        <f t="shared" si="149"/>
        <v>20</v>
      </c>
      <c r="BB421" s="4"/>
      <c r="BC421" s="4"/>
      <c r="BE421" s="6">
        <f t="shared" si="101"/>
        <v>0.1027381605</v>
      </c>
    </row>
    <row r="422">
      <c r="C422" s="30">
        <v>87.0</v>
      </c>
      <c r="D422" s="30">
        <v>76.5</v>
      </c>
      <c r="E422" s="30">
        <v>78.0</v>
      </c>
      <c r="F422" s="30">
        <v>78.0</v>
      </c>
      <c r="G422" s="30">
        <v>90.0</v>
      </c>
      <c r="H422" s="30">
        <v>90.0</v>
      </c>
      <c r="I422" s="30">
        <v>88.5</v>
      </c>
      <c r="J422" s="30">
        <v>84.0</v>
      </c>
      <c r="K422" s="30">
        <v>64.5</v>
      </c>
      <c r="L422" s="30">
        <v>70.5</v>
      </c>
      <c r="M422" s="30">
        <v>90.0</v>
      </c>
      <c r="N422" s="30">
        <v>66.0</v>
      </c>
      <c r="O422" s="30">
        <v>84.0</v>
      </c>
      <c r="P422" s="30">
        <v>90.0</v>
      </c>
      <c r="Q422" s="30">
        <v>90.0</v>
      </c>
      <c r="R422" s="30">
        <v>90.0</v>
      </c>
      <c r="S422" s="30">
        <v>90.0</v>
      </c>
      <c r="T422" s="30">
        <v>75.0</v>
      </c>
      <c r="U422" s="30">
        <v>70.5</v>
      </c>
      <c r="V422" s="30">
        <v>85.5</v>
      </c>
      <c r="W422" s="30">
        <v>78.0</v>
      </c>
      <c r="X422" s="30">
        <v>45.0</v>
      </c>
      <c r="Y422" s="29"/>
      <c r="Z422" s="29"/>
      <c r="AA422" s="29"/>
      <c r="AB422" s="30">
        <v>90.0</v>
      </c>
      <c r="AC422" s="30">
        <v>85.5</v>
      </c>
      <c r="AD422" s="30">
        <v>70.5</v>
      </c>
      <c r="AE422" s="30">
        <v>43.5</v>
      </c>
      <c r="AF422" s="30">
        <v>90.0</v>
      </c>
      <c r="AG422" s="30">
        <v>85.5</v>
      </c>
      <c r="AH422" s="30">
        <v>54.0</v>
      </c>
      <c r="AL422" s="6">
        <f t="shared" si="100"/>
        <v>13.46732499</v>
      </c>
      <c r="AN422" s="6"/>
      <c r="AO422" s="6"/>
      <c r="AQ422" s="6"/>
      <c r="AR422" s="6"/>
      <c r="AS422" s="6"/>
      <c r="AT422" s="6"/>
      <c r="AU422" s="6"/>
      <c r="AV422" s="6"/>
      <c r="AX422" s="6"/>
      <c r="AY422" s="6"/>
      <c r="AZ422" s="6"/>
      <c r="BA422" s="6"/>
      <c r="BB422" s="6"/>
      <c r="BC422" s="6"/>
      <c r="BE422" s="6">
        <f t="shared" si="101"/>
        <v>6.441948748</v>
      </c>
    </row>
    <row r="423">
      <c r="B423" s="9" t="s">
        <v>27</v>
      </c>
      <c r="C423" s="29">
        <v>7.0</v>
      </c>
      <c r="D423" s="29">
        <v>7.0</v>
      </c>
      <c r="E423" s="29">
        <v>7.0</v>
      </c>
      <c r="F423" s="29">
        <v>6.0</v>
      </c>
      <c r="G423" s="29">
        <v>1.0</v>
      </c>
      <c r="H423" s="29">
        <v>7.0</v>
      </c>
      <c r="I423" s="29">
        <v>7.0</v>
      </c>
      <c r="J423" s="29">
        <v>1.0</v>
      </c>
      <c r="K423" s="29">
        <v>2.0</v>
      </c>
      <c r="L423" s="29">
        <v>7.0</v>
      </c>
      <c r="M423" s="29">
        <v>2.0</v>
      </c>
      <c r="N423" s="29">
        <v>1.0</v>
      </c>
      <c r="O423" s="29">
        <v>7.0</v>
      </c>
      <c r="P423" s="29">
        <v>1.0</v>
      </c>
      <c r="Q423" s="29">
        <v>1.0</v>
      </c>
      <c r="R423" s="29">
        <v>1.0</v>
      </c>
      <c r="S423" s="29">
        <v>7.0</v>
      </c>
      <c r="T423" s="29">
        <v>6.0</v>
      </c>
      <c r="U423" s="29">
        <v>2.0</v>
      </c>
      <c r="V423" s="29">
        <v>7.0</v>
      </c>
      <c r="W423" s="29">
        <v>7.0</v>
      </c>
      <c r="X423" s="29">
        <v>5.0</v>
      </c>
      <c r="Y423" s="24"/>
      <c r="Z423" s="24"/>
      <c r="AA423" s="24"/>
      <c r="AB423" s="29">
        <v>1.0</v>
      </c>
      <c r="AC423" s="29">
        <v>1.0</v>
      </c>
      <c r="AD423" s="29">
        <v>1.0</v>
      </c>
      <c r="AE423" s="29">
        <v>1.0</v>
      </c>
      <c r="AF423" s="29">
        <v>1.0</v>
      </c>
      <c r="AG423" s="29">
        <v>1.0</v>
      </c>
      <c r="AH423" s="29">
        <v>1.0</v>
      </c>
      <c r="AL423" s="6">
        <f t="shared" si="100"/>
        <v>2.831908267</v>
      </c>
      <c r="AN423" s="29">
        <f>7-G423</f>
        <v>6</v>
      </c>
      <c r="AO423" s="29">
        <f>7-J423</f>
        <v>6</v>
      </c>
      <c r="AQ423" s="29">
        <f t="shared" ref="AQ423:AS423" si="150">E423</f>
        <v>7</v>
      </c>
      <c r="AR423" s="29">
        <f t="shared" si="150"/>
        <v>6</v>
      </c>
      <c r="AS423" s="29">
        <f t="shared" si="150"/>
        <v>1</v>
      </c>
      <c r="AT423" s="29">
        <f>sum(C423,D423,E423,AN423,H423,I423,AO423)</f>
        <v>47</v>
      </c>
      <c r="AU423" s="29">
        <f>sum(P423:T423)</f>
        <v>16</v>
      </c>
      <c r="AV423" s="29">
        <f>sum(U423:X423)</f>
        <v>21</v>
      </c>
      <c r="AX423" s="29">
        <f t="shared" ref="AX423:BA423" si="151">AQ423-AQ201</f>
        <v>0</v>
      </c>
      <c r="AY423" s="29">
        <f t="shared" si="151"/>
        <v>-1</v>
      </c>
      <c r="AZ423" s="29">
        <f t="shared" si="151"/>
        <v>-1</v>
      </c>
      <c r="BA423" s="29">
        <f t="shared" si="151"/>
        <v>3</v>
      </c>
      <c r="BB423" s="4"/>
      <c r="BC423" s="4"/>
      <c r="BE423" s="6">
        <f t="shared" si="101"/>
        <v>0.218943245</v>
      </c>
    </row>
    <row r="424">
      <c r="C424" s="30">
        <v>87.0</v>
      </c>
      <c r="D424" s="30">
        <v>88.5</v>
      </c>
      <c r="E424" s="30">
        <v>88.5</v>
      </c>
      <c r="F424" s="30">
        <v>73.5</v>
      </c>
      <c r="G424" s="30">
        <v>87.0</v>
      </c>
      <c r="H424" s="30">
        <v>46.5</v>
      </c>
      <c r="I424" s="30">
        <v>87.0</v>
      </c>
      <c r="J424" s="30">
        <v>84.0</v>
      </c>
      <c r="K424" s="30">
        <v>55.5</v>
      </c>
      <c r="L424" s="30">
        <v>55.5</v>
      </c>
      <c r="M424" s="30">
        <v>28.5</v>
      </c>
      <c r="N424" s="30">
        <v>88.5</v>
      </c>
      <c r="O424" s="30">
        <v>88.5</v>
      </c>
      <c r="P424" s="30">
        <v>85.5</v>
      </c>
      <c r="Q424" s="30">
        <v>85.5</v>
      </c>
      <c r="R424" s="30">
        <v>87.0</v>
      </c>
      <c r="S424" s="30">
        <v>45.0</v>
      </c>
      <c r="T424" s="30">
        <v>48.0</v>
      </c>
      <c r="U424" s="30">
        <v>45.0</v>
      </c>
      <c r="V424" s="30">
        <v>85.5</v>
      </c>
      <c r="W424" s="30">
        <v>85.5</v>
      </c>
      <c r="X424" s="30">
        <v>85.5</v>
      </c>
      <c r="Y424" s="29"/>
      <c r="Z424" s="29"/>
      <c r="AA424" s="29"/>
      <c r="AB424" s="30">
        <v>85.5</v>
      </c>
      <c r="AC424" s="30">
        <v>88.5</v>
      </c>
      <c r="AD424" s="30">
        <v>88.5</v>
      </c>
      <c r="AE424" s="30">
        <v>87.0</v>
      </c>
      <c r="AF424" s="30">
        <v>87.0</v>
      </c>
      <c r="AG424" s="30">
        <v>87.0</v>
      </c>
      <c r="AH424" s="30">
        <v>87.0</v>
      </c>
      <c r="AL424" s="6">
        <f t="shared" si="100"/>
        <v>18.1065198</v>
      </c>
      <c r="AN424" s="6"/>
      <c r="AO424" s="6"/>
      <c r="AQ424" s="6"/>
      <c r="AR424" s="6"/>
      <c r="AS424" s="6"/>
      <c r="AT424" s="6"/>
      <c r="AU424" s="6"/>
      <c r="AV424" s="6"/>
      <c r="AX424" s="6"/>
      <c r="AY424" s="6"/>
      <c r="AZ424" s="6"/>
      <c r="BA424" s="6"/>
      <c r="BB424" s="6"/>
      <c r="BC424" s="6"/>
      <c r="BE424" s="6">
        <f t="shared" si="101"/>
        <v>-4.327620268</v>
      </c>
    </row>
    <row r="425">
      <c r="B425" s="9" t="s">
        <v>28</v>
      </c>
      <c r="C425" s="29">
        <v>7.0</v>
      </c>
      <c r="D425" s="29">
        <v>7.0</v>
      </c>
      <c r="E425" s="29">
        <v>5.0</v>
      </c>
      <c r="F425" s="29">
        <v>1.0</v>
      </c>
      <c r="G425" s="29">
        <v>1.0</v>
      </c>
      <c r="H425" s="29">
        <v>2.0</v>
      </c>
      <c r="I425" s="29">
        <v>5.0</v>
      </c>
      <c r="J425" s="29">
        <v>2.0</v>
      </c>
      <c r="K425" s="29">
        <v>1.0</v>
      </c>
      <c r="L425" s="29">
        <v>3.0</v>
      </c>
      <c r="M425" s="29">
        <v>5.0</v>
      </c>
      <c r="N425" s="29">
        <v>6.0</v>
      </c>
      <c r="O425" s="29">
        <v>5.0</v>
      </c>
      <c r="P425" s="29">
        <v>6.0</v>
      </c>
      <c r="Q425" s="29">
        <v>5.0</v>
      </c>
      <c r="R425" s="29">
        <v>5.0</v>
      </c>
      <c r="S425" s="29">
        <v>7.0</v>
      </c>
      <c r="T425" s="29">
        <v>5.0</v>
      </c>
      <c r="U425" s="29">
        <v>1.0</v>
      </c>
      <c r="V425" s="29">
        <v>1.0</v>
      </c>
      <c r="W425" s="29">
        <v>1.0</v>
      </c>
      <c r="X425" s="29">
        <v>1.0</v>
      </c>
      <c r="Y425" s="24"/>
      <c r="Z425" s="24"/>
      <c r="AA425" s="24"/>
      <c r="AB425" s="29">
        <v>1.0</v>
      </c>
      <c r="AC425" s="29">
        <v>1.0</v>
      </c>
      <c r="AD425" s="29">
        <v>1.0</v>
      </c>
      <c r="AE425" s="29">
        <v>2.0</v>
      </c>
      <c r="AF425" s="29">
        <v>2.0</v>
      </c>
      <c r="AG425" s="29">
        <v>2.0</v>
      </c>
      <c r="AH425" s="29">
        <v>2.0</v>
      </c>
      <c r="AL425" s="6">
        <f t="shared" si="100"/>
        <v>2.226132302</v>
      </c>
      <c r="AN425" s="29">
        <f>7-G425</f>
        <v>6</v>
      </c>
      <c r="AO425" s="29">
        <f>7-J425</f>
        <v>5</v>
      </c>
      <c r="AQ425" s="29">
        <f t="shared" ref="AQ425:AS425" si="152">E425</f>
        <v>5</v>
      </c>
      <c r="AR425" s="29">
        <f t="shared" si="152"/>
        <v>1</v>
      </c>
      <c r="AS425" s="29">
        <f t="shared" si="152"/>
        <v>1</v>
      </c>
      <c r="AT425" s="29">
        <f>sum(C425,D425,E425,AN425,H425,I425,AO425)</f>
        <v>37</v>
      </c>
      <c r="AU425" s="29">
        <f>sum(P425:T425)</f>
        <v>28</v>
      </c>
      <c r="AV425" s="29">
        <f>sum(U425:X425)</f>
        <v>4</v>
      </c>
      <c r="AX425" s="29">
        <f t="shared" ref="AX425:BA425" si="153">AQ425-AQ203</f>
        <v>0</v>
      </c>
      <c r="AY425" s="29">
        <f t="shared" si="153"/>
        <v>0</v>
      </c>
      <c r="AZ425" s="29">
        <f t="shared" si="153"/>
        <v>0</v>
      </c>
      <c r="BA425" s="29">
        <f t="shared" si="153"/>
        <v>-1</v>
      </c>
      <c r="BB425" s="4"/>
      <c r="BC425" s="4"/>
      <c r="BE425" s="6">
        <f t="shared" si="101"/>
        <v>0.08689068845</v>
      </c>
    </row>
    <row r="426">
      <c r="C426" s="30">
        <v>87.0</v>
      </c>
      <c r="D426" s="30">
        <v>85.5</v>
      </c>
      <c r="E426" s="30">
        <v>48.0</v>
      </c>
      <c r="F426" s="30">
        <v>87.0</v>
      </c>
      <c r="G426" s="30">
        <v>87.0</v>
      </c>
      <c r="H426" s="30">
        <v>85.5</v>
      </c>
      <c r="I426" s="30">
        <v>73.5</v>
      </c>
      <c r="J426" s="30">
        <v>61.5</v>
      </c>
      <c r="K426" s="30">
        <v>85.5</v>
      </c>
      <c r="L426" s="30">
        <v>48.0</v>
      </c>
      <c r="M426" s="30">
        <v>85.5</v>
      </c>
      <c r="N426" s="30">
        <v>45.0</v>
      </c>
      <c r="O426" s="30">
        <v>67.5</v>
      </c>
      <c r="P426" s="30">
        <v>40.5</v>
      </c>
      <c r="Q426" s="30">
        <v>46.5</v>
      </c>
      <c r="R426" s="30">
        <v>52.5</v>
      </c>
      <c r="S426" s="30">
        <v>85.5</v>
      </c>
      <c r="T426" s="30">
        <v>84.0</v>
      </c>
      <c r="U426" s="30">
        <v>87.0</v>
      </c>
      <c r="V426" s="30">
        <v>87.0</v>
      </c>
      <c r="W426" s="30">
        <v>87.0</v>
      </c>
      <c r="X426" s="30">
        <v>87.0</v>
      </c>
      <c r="Y426" s="29"/>
      <c r="Z426" s="29"/>
      <c r="AA426" s="29"/>
      <c r="AB426" s="30">
        <v>85.5</v>
      </c>
      <c r="AC426" s="30">
        <v>85.5</v>
      </c>
      <c r="AD426" s="30">
        <v>87.0</v>
      </c>
      <c r="AE426" s="30">
        <v>85.5</v>
      </c>
      <c r="AF426" s="30">
        <v>82.5</v>
      </c>
      <c r="AG426" s="30">
        <v>76.5</v>
      </c>
      <c r="AH426" s="30">
        <v>81.0</v>
      </c>
      <c r="AL426" s="6">
        <f t="shared" si="100"/>
        <v>16.15995324</v>
      </c>
      <c r="AN426" s="6"/>
      <c r="AO426" s="6"/>
      <c r="AQ426" s="6"/>
      <c r="AR426" s="6"/>
      <c r="AS426" s="6"/>
      <c r="AT426" s="6"/>
      <c r="AU426" s="6"/>
      <c r="AV426" s="6"/>
      <c r="AX426" s="6"/>
      <c r="AY426" s="6"/>
      <c r="AZ426" s="6"/>
      <c r="BA426" s="6"/>
      <c r="BB426" s="6"/>
      <c r="BC426" s="6"/>
      <c r="BE426" s="6">
        <f t="shared" si="101"/>
        <v>-7.710850496</v>
      </c>
    </row>
    <row r="427">
      <c r="B427" s="9" t="s">
        <v>29</v>
      </c>
      <c r="C427" s="29">
        <v>7.0</v>
      </c>
      <c r="D427" s="29">
        <v>6.0</v>
      </c>
      <c r="E427" s="29">
        <v>5.0</v>
      </c>
      <c r="F427" s="29">
        <v>7.0</v>
      </c>
      <c r="G427" s="29">
        <v>1.0</v>
      </c>
      <c r="H427" s="29">
        <v>7.0</v>
      </c>
      <c r="I427" s="29">
        <v>7.0</v>
      </c>
      <c r="J427" s="29">
        <v>1.0</v>
      </c>
      <c r="K427" s="29">
        <v>5.0</v>
      </c>
      <c r="L427" s="29">
        <v>6.0</v>
      </c>
      <c r="M427" s="29">
        <v>4.0</v>
      </c>
      <c r="N427" s="29">
        <v>3.0</v>
      </c>
      <c r="O427" s="29">
        <v>5.0</v>
      </c>
      <c r="P427" s="29">
        <v>5.0</v>
      </c>
      <c r="Q427" s="29">
        <v>3.0</v>
      </c>
      <c r="R427" s="29">
        <v>3.0</v>
      </c>
      <c r="S427" s="29">
        <v>1.0</v>
      </c>
      <c r="T427" s="29">
        <v>7.0</v>
      </c>
      <c r="U427" s="29">
        <v>5.0</v>
      </c>
      <c r="V427" s="29">
        <v>6.0</v>
      </c>
      <c r="W427" s="29">
        <v>3.0</v>
      </c>
      <c r="X427" s="29">
        <v>6.0</v>
      </c>
      <c r="Y427" s="24"/>
      <c r="Z427" s="24"/>
      <c r="AA427" s="24"/>
      <c r="AB427" s="29">
        <v>1.0</v>
      </c>
      <c r="AC427" s="29">
        <v>1.0</v>
      </c>
      <c r="AD427" s="29">
        <v>2.0</v>
      </c>
      <c r="AE427" s="29">
        <v>1.0</v>
      </c>
      <c r="AF427" s="29">
        <v>3.0</v>
      </c>
      <c r="AG427" s="29">
        <v>6.0</v>
      </c>
      <c r="AH427" s="29">
        <v>3.0</v>
      </c>
      <c r="AL427" s="6">
        <f t="shared" si="100"/>
        <v>2.183119294</v>
      </c>
      <c r="AN427" s="29">
        <f>7-G427</f>
        <v>6</v>
      </c>
      <c r="AO427" s="29">
        <f>7-J427</f>
        <v>6</v>
      </c>
      <c r="AQ427" s="29">
        <f t="shared" ref="AQ427:AS427" si="154">E427</f>
        <v>5</v>
      </c>
      <c r="AR427" s="29">
        <f t="shared" si="154"/>
        <v>7</v>
      </c>
      <c r="AS427" s="29">
        <f t="shared" si="154"/>
        <v>1</v>
      </c>
      <c r="AT427" s="29">
        <f>sum(C427,D427,E427,AN427,H427,I427,AO427)</f>
        <v>44</v>
      </c>
      <c r="AU427" s="29">
        <f>sum(P427:T427)</f>
        <v>19</v>
      </c>
      <c r="AV427" s="29">
        <f>sum(U427:X427)</f>
        <v>20</v>
      </c>
      <c r="AX427" s="29">
        <f t="shared" ref="AX427:BA427" si="155">AQ427-AQ205</f>
        <v>0</v>
      </c>
      <c r="AY427" s="29">
        <f t="shared" si="155"/>
        <v>1</v>
      </c>
      <c r="AZ427" s="29">
        <f t="shared" si="155"/>
        <v>0</v>
      </c>
      <c r="BA427" s="29">
        <f t="shared" si="155"/>
        <v>1</v>
      </c>
      <c r="BB427" s="4"/>
      <c r="BC427" s="4"/>
      <c r="BE427" s="6">
        <f t="shared" si="101"/>
        <v>0.0554225121</v>
      </c>
    </row>
    <row r="428">
      <c r="C428" s="30">
        <v>90.0</v>
      </c>
      <c r="D428" s="30">
        <v>73.5</v>
      </c>
      <c r="E428" s="30">
        <v>75.0</v>
      </c>
      <c r="F428" s="30">
        <v>90.0</v>
      </c>
      <c r="G428" s="30">
        <v>90.0</v>
      </c>
      <c r="H428" s="30">
        <v>75.0</v>
      </c>
      <c r="I428" s="30">
        <v>69.0</v>
      </c>
      <c r="J428" s="30">
        <v>90.0</v>
      </c>
      <c r="K428" s="30">
        <v>76.5</v>
      </c>
      <c r="L428" s="30">
        <v>81.0</v>
      </c>
      <c r="M428" s="30">
        <v>48.0</v>
      </c>
      <c r="N428" s="30">
        <v>72.0</v>
      </c>
      <c r="O428" s="30">
        <v>24.0</v>
      </c>
      <c r="P428" s="30">
        <v>66.0</v>
      </c>
      <c r="Q428" s="30">
        <v>51.0</v>
      </c>
      <c r="R428" s="30">
        <v>49.5</v>
      </c>
      <c r="S428" s="30">
        <v>90.0</v>
      </c>
      <c r="T428" s="30">
        <v>90.0</v>
      </c>
      <c r="U428" s="30">
        <v>90.0</v>
      </c>
      <c r="V428" s="30">
        <v>90.0</v>
      </c>
      <c r="W428" s="30">
        <v>69.0</v>
      </c>
      <c r="X428" s="30">
        <v>78.0</v>
      </c>
      <c r="Y428" s="29"/>
      <c r="Z428" s="29"/>
      <c r="AA428" s="29"/>
      <c r="AB428" s="30">
        <v>90.0</v>
      </c>
      <c r="AC428" s="30">
        <v>90.0</v>
      </c>
      <c r="AD428" s="30">
        <v>48.0</v>
      </c>
      <c r="AE428" s="30">
        <v>90.0</v>
      </c>
      <c r="AF428" s="30">
        <v>66.0</v>
      </c>
      <c r="AG428" s="30">
        <v>46.5</v>
      </c>
      <c r="AH428" s="30">
        <v>90.0</v>
      </c>
      <c r="AL428" s="6">
        <f t="shared" si="100"/>
        <v>17.99291733</v>
      </c>
      <c r="AN428" s="6"/>
      <c r="AO428" s="6"/>
      <c r="AQ428" s="6"/>
      <c r="AR428" s="6"/>
      <c r="AS428" s="6"/>
      <c r="AT428" s="6"/>
      <c r="AU428" s="6"/>
      <c r="AV428" s="6"/>
      <c r="AX428" s="6"/>
      <c r="AY428" s="6"/>
      <c r="AZ428" s="6"/>
      <c r="BA428" s="6"/>
      <c r="BB428" s="6"/>
      <c r="BC428" s="6"/>
      <c r="BE428" s="6">
        <f t="shared" si="101"/>
        <v>4.773124172</v>
      </c>
    </row>
    <row r="429">
      <c r="B429" s="9" t="s">
        <v>30</v>
      </c>
      <c r="C429" s="29">
        <v>1.0</v>
      </c>
      <c r="D429" s="29">
        <v>1.0</v>
      </c>
      <c r="E429" s="29">
        <v>1.0</v>
      </c>
      <c r="F429" s="29">
        <v>1.0</v>
      </c>
      <c r="G429" s="29">
        <v>7.0</v>
      </c>
      <c r="H429" s="29">
        <v>1.0</v>
      </c>
      <c r="I429" s="29">
        <v>1.0</v>
      </c>
      <c r="J429" s="29">
        <v>4.0</v>
      </c>
      <c r="K429" s="29">
        <v>7.0</v>
      </c>
      <c r="L429" s="29">
        <v>1.0</v>
      </c>
      <c r="M429" s="29">
        <v>7.0</v>
      </c>
      <c r="N429" s="29">
        <v>7.0</v>
      </c>
      <c r="O429" s="29">
        <v>1.0</v>
      </c>
      <c r="P429" s="29">
        <v>1.0</v>
      </c>
      <c r="Q429" s="29">
        <v>1.0</v>
      </c>
      <c r="R429" s="29">
        <v>1.0</v>
      </c>
      <c r="S429" s="29">
        <v>1.0</v>
      </c>
      <c r="T429" s="29">
        <v>1.0</v>
      </c>
      <c r="U429" s="29">
        <v>5.0</v>
      </c>
      <c r="V429" s="29">
        <v>4.0</v>
      </c>
      <c r="W429" s="29">
        <v>7.0</v>
      </c>
      <c r="X429" s="29">
        <v>4.0</v>
      </c>
      <c r="Y429" s="24"/>
      <c r="Z429" s="24"/>
      <c r="AA429" s="24"/>
      <c r="AB429" s="29">
        <v>1.0</v>
      </c>
      <c r="AC429" s="29">
        <v>1.0</v>
      </c>
      <c r="AD429" s="29">
        <v>1.0</v>
      </c>
      <c r="AE429" s="29">
        <v>1.0</v>
      </c>
      <c r="AF429" s="29">
        <v>1.0</v>
      </c>
      <c r="AG429" s="29">
        <v>1.0</v>
      </c>
      <c r="AH429" s="29">
        <v>1.0</v>
      </c>
      <c r="AL429" s="6">
        <f t="shared" si="100"/>
        <v>2.384783453</v>
      </c>
      <c r="AN429" s="29">
        <f>7-G429</f>
        <v>0</v>
      </c>
      <c r="AO429" s="29">
        <f>7-J429</f>
        <v>3</v>
      </c>
      <c r="AQ429" s="29">
        <f t="shared" ref="AQ429:AS429" si="156">E429</f>
        <v>1</v>
      </c>
      <c r="AR429" s="29">
        <f t="shared" si="156"/>
        <v>1</v>
      </c>
      <c r="AS429" s="29">
        <f t="shared" si="156"/>
        <v>7</v>
      </c>
      <c r="AT429" s="29">
        <f>sum(C429,D429,E429,AN429,H429,I429,AO429)</f>
        <v>8</v>
      </c>
      <c r="AU429" s="29">
        <f>sum(P429:T429)</f>
        <v>5</v>
      </c>
      <c r="AV429" s="29">
        <f>sum(U429:X429)</f>
        <v>20</v>
      </c>
      <c r="AX429" s="29">
        <f t="shared" ref="AX429:BA429" si="157">AQ429-AQ207</f>
        <v>0</v>
      </c>
      <c r="AY429" s="29">
        <f t="shared" si="157"/>
        <v>-3</v>
      </c>
      <c r="AZ429" s="29">
        <f t="shared" si="157"/>
        <v>0</v>
      </c>
      <c r="BA429" s="29">
        <f t="shared" si="157"/>
        <v>0</v>
      </c>
      <c r="BB429" s="4"/>
      <c r="BC429" s="4"/>
      <c r="BE429" s="6">
        <f t="shared" si="101"/>
        <v>0.03537832979</v>
      </c>
    </row>
    <row r="430">
      <c r="C430" s="30">
        <v>90.0</v>
      </c>
      <c r="D430" s="30">
        <v>90.0</v>
      </c>
      <c r="E430" s="30">
        <v>90.0</v>
      </c>
      <c r="F430" s="30">
        <v>90.0</v>
      </c>
      <c r="G430" s="30">
        <v>90.0</v>
      </c>
      <c r="H430" s="30">
        <v>90.0</v>
      </c>
      <c r="I430" s="30">
        <v>90.0</v>
      </c>
      <c r="J430" s="30">
        <v>90.0</v>
      </c>
      <c r="K430" s="30">
        <v>90.0</v>
      </c>
      <c r="L430" s="30">
        <v>90.0</v>
      </c>
      <c r="M430" s="30">
        <v>90.0</v>
      </c>
      <c r="N430" s="30">
        <v>90.0</v>
      </c>
      <c r="O430" s="30">
        <v>90.0</v>
      </c>
      <c r="P430" s="30">
        <v>90.0</v>
      </c>
      <c r="Q430" s="30">
        <v>90.0</v>
      </c>
      <c r="R430" s="30">
        <v>90.0</v>
      </c>
      <c r="S430" s="30">
        <v>90.0</v>
      </c>
      <c r="T430" s="30">
        <v>90.0</v>
      </c>
      <c r="U430" s="30">
        <v>90.0</v>
      </c>
      <c r="V430" s="30">
        <v>90.0</v>
      </c>
      <c r="W430" s="30">
        <v>90.0</v>
      </c>
      <c r="X430" s="30">
        <v>90.0</v>
      </c>
      <c r="Y430" s="29"/>
      <c r="Z430" s="29"/>
      <c r="AA430" s="29"/>
      <c r="AB430" s="30">
        <v>90.0</v>
      </c>
      <c r="AC430" s="30">
        <v>90.0</v>
      </c>
      <c r="AD430" s="30">
        <v>90.0</v>
      </c>
      <c r="AE430" s="30">
        <v>90.0</v>
      </c>
      <c r="AF430" s="30">
        <v>90.0</v>
      </c>
      <c r="AG430" s="30">
        <v>90.0</v>
      </c>
      <c r="AH430" s="30">
        <v>90.0</v>
      </c>
      <c r="AL430" s="6">
        <f t="shared" si="100"/>
        <v>0</v>
      </c>
      <c r="AN430" s="6"/>
      <c r="AO430" s="6"/>
      <c r="AQ430" s="6"/>
      <c r="AR430" s="6"/>
      <c r="AS430" s="6"/>
      <c r="AT430" s="6"/>
      <c r="AU430" s="6"/>
      <c r="AV430" s="6"/>
      <c r="AX430" s="6"/>
      <c r="AY430" s="6"/>
      <c r="AZ430" s="6"/>
      <c r="BA430" s="6"/>
      <c r="BB430" s="6"/>
      <c r="BC430" s="6"/>
      <c r="BE430" s="6">
        <f t="shared" si="101"/>
        <v>0</v>
      </c>
    </row>
    <row r="431">
      <c r="B431" s="9" t="s">
        <v>31</v>
      </c>
      <c r="C431" s="29">
        <v>1.0</v>
      </c>
      <c r="D431" s="29">
        <v>2.0</v>
      </c>
      <c r="E431" s="29">
        <v>6.0</v>
      </c>
      <c r="F431" s="29">
        <v>1.0</v>
      </c>
      <c r="G431" s="29">
        <v>6.0</v>
      </c>
      <c r="H431" s="29">
        <v>1.0</v>
      </c>
      <c r="I431" s="29">
        <v>1.0</v>
      </c>
      <c r="J431" s="29">
        <v>6.0</v>
      </c>
      <c r="K431" s="29">
        <v>1.0</v>
      </c>
      <c r="L431" s="29">
        <v>6.0</v>
      </c>
      <c r="M431" s="29">
        <v>1.0</v>
      </c>
      <c r="N431" s="29">
        <v>6.0</v>
      </c>
      <c r="O431" s="29">
        <v>7.0</v>
      </c>
      <c r="P431" s="29">
        <v>1.0</v>
      </c>
      <c r="Q431" s="29">
        <v>1.0</v>
      </c>
      <c r="R431" s="29">
        <v>1.0</v>
      </c>
      <c r="S431" s="29">
        <v>1.0</v>
      </c>
      <c r="T431" s="29">
        <v>1.0</v>
      </c>
      <c r="U431" s="29">
        <v>2.0</v>
      </c>
      <c r="V431" s="29">
        <v>2.0</v>
      </c>
      <c r="W431" s="29">
        <v>2.0</v>
      </c>
      <c r="X431" s="29">
        <v>2.0</v>
      </c>
      <c r="Y431" s="24"/>
      <c r="Z431" s="24"/>
      <c r="AA431" s="24"/>
      <c r="AB431" s="29">
        <v>2.0</v>
      </c>
      <c r="AC431" s="29">
        <v>2.0</v>
      </c>
      <c r="AD431" s="29">
        <v>2.0</v>
      </c>
      <c r="AE431" s="29">
        <v>2.0</v>
      </c>
      <c r="AF431" s="29">
        <v>2.0</v>
      </c>
      <c r="AG431" s="29">
        <v>2.0</v>
      </c>
      <c r="AH431" s="29">
        <v>2.0</v>
      </c>
      <c r="AL431" s="6">
        <f t="shared" si="100"/>
        <v>1.975215895</v>
      </c>
      <c r="AN431" s="29">
        <f>7-G431</f>
        <v>1</v>
      </c>
      <c r="AO431" s="29">
        <f>7-J431</f>
        <v>1</v>
      </c>
      <c r="AQ431" s="29">
        <f t="shared" ref="AQ431:AS431" si="158">E431</f>
        <v>6</v>
      </c>
      <c r="AR431" s="29">
        <f t="shared" si="158"/>
        <v>1</v>
      </c>
      <c r="AS431" s="29">
        <f t="shared" si="158"/>
        <v>6</v>
      </c>
      <c r="AT431" s="29">
        <f>sum(C431,D431,E431,AN431,H431,I431,AO431)</f>
        <v>13</v>
      </c>
      <c r="AU431" s="29">
        <f>sum(P431:T431)</f>
        <v>5</v>
      </c>
      <c r="AV431" s="29">
        <f>sum(U431:X431)</f>
        <v>8</v>
      </c>
      <c r="AX431" s="29">
        <f t="shared" ref="AX431:BA431" si="159">AQ431-AQ209</f>
        <v>2</v>
      </c>
      <c r="AY431" s="29">
        <f t="shared" si="159"/>
        <v>0</v>
      </c>
      <c r="AZ431" s="29">
        <f t="shared" si="159"/>
        <v>0</v>
      </c>
      <c r="BA431" s="29">
        <f t="shared" si="159"/>
        <v>-4</v>
      </c>
      <c r="BB431" s="4"/>
      <c r="BC431" s="4"/>
      <c r="BE431" s="6">
        <f t="shared" si="101"/>
        <v>-0.2909412001</v>
      </c>
    </row>
    <row r="432">
      <c r="C432" s="30">
        <v>90.0</v>
      </c>
      <c r="D432" s="30">
        <v>81.0</v>
      </c>
      <c r="E432" s="30">
        <v>45.0</v>
      </c>
      <c r="F432" s="30">
        <v>90.0</v>
      </c>
      <c r="G432" s="30">
        <v>48.0</v>
      </c>
      <c r="H432" s="30">
        <v>90.0</v>
      </c>
      <c r="I432" s="30">
        <v>90.0</v>
      </c>
      <c r="J432" s="30">
        <v>79.5</v>
      </c>
      <c r="K432" s="30">
        <v>105.0</v>
      </c>
      <c r="L432" s="30">
        <v>43.5</v>
      </c>
      <c r="M432" s="30">
        <v>90.0</v>
      </c>
      <c r="N432" s="30">
        <v>43.5</v>
      </c>
      <c r="O432" s="30">
        <v>90.0</v>
      </c>
      <c r="P432" s="30">
        <v>90.0</v>
      </c>
      <c r="Q432" s="30">
        <v>90.0</v>
      </c>
      <c r="R432" s="30">
        <v>90.0</v>
      </c>
      <c r="S432" s="30">
        <v>90.0</v>
      </c>
      <c r="T432" s="30">
        <v>90.0</v>
      </c>
      <c r="U432" s="30">
        <v>48.0</v>
      </c>
      <c r="V432" s="30">
        <v>87.0</v>
      </c>
      <c r="W432" s="30">
        <v>43.5</v>
      </c>
      <c r="X432" s="30">
        <v>90.0</v>
      </c>
      <c r="Y432" s="29"/>
      <c r="Z432" s="29"/>
      <c r="AA432" s="29"/>
      <c r="AB432" s="30">
        <v>90.0</v>
      </c>
      <c r="AC432" s="30">
        <v>90.0</v>
      </c>
      <c r="AD432" s="30">
        <v>90.0</v>
      </c>
      <c r="AE432" s="30">
        <v>90.0</v>
      </c>
      <c r="AF432" s="30">
        <v>90.0</v>
      </c>
      <c r="AG432" s="30">
        <v>90.0</v>
      </c>
      <c r="AH432" s="30">
        <v>90.0</v>
      </c>
      <c r="AL432" s="6">
        <f t="shared" si="100"/>
        <v>18.74475296</v>
      </c>
      <c r="AN432" s="6"/>
      <c r="AO432" s="6"/>
      <c r="AQ432" s="6"/>
      <c r="AR432" s="6"/>
      <c r="AS432" s="6"/>
      <c r="AT432" s="6"/>
      <c r="AU432" s="6"/>
      <c r="AV432" s="6"/>
      <c r="AX432" s="6"/>
      <c r="AY432" s="6"/>
      <c r="AZ432" s="6"/>
      <c r="BA432" s="6"/>
      <c r="BB432" s="6"/>
      <c r="BC432" s="6"/>
      <c r="BE432" s="6">
        <f t="shared" si="101"/>
        <v>-11.33411505</v>
      </c>
    </row>
    <row r="433">
      <c r="B433" s="9" t="s">
        <v>32</v>
      </c>
      <c r="C433" s="29">
        <v>7.0</v>
      </c>
      <c r="D433" s="29">
        <v>7.0</v>
      </c>
      <c r="E433" s="29">
        <v>7.0</v>
      </c>
      <c r="F433" s="29">
        <v>7.0</v>
      </c>
      <c r="G433" s="29">
        <v>5.0</v>
      </c>
      <c r="H433" s="29">
        <v>7.0</v>
      </c>
      <c r="I433" s="29">
        <v>2.0</v>
      </c>
      <c r="J433" s="29">
        <v>7.0</v>
      </c>
      <c r="K433" s="29">
        <v>7.0</v>
      </c>
      <c r="L433" s="29">
        <v>5.0</v>
      </c>
      <c r="M433" s="29">
        <v>3.0</v>
      </c>
      <c r="N433" s="29">
        <v>5.0</v>
      </c>
      <c r="O433" s="29">
        <v>6.0</v>
      </c>
      <c r="P433" s="29">
        <v>1.0</v>
      </c>
      <c r="Q433" s="29">
        <v>4.0</v>
      </c>
      <c r="R433" s="29">
        <v>6.0</v>
      </c>
      <c r="S433" s="29">
        <v>2.0</v>
      </c>
      <c r="T433" s="29">
        <v>7.0</v>
      </c>
      <c r="U433" s="29">
        <v>6.0</v>
      </c>
      <c r="V433" s="29">
        <v>7.0</v>
      </c>
      <c r="W433" s="29">
        <v>7.0</v>
      </c>
      <c r="X433" s="29">
        <v>5.0</v>
      </c>
      <c r="Y433" s="24"/>
      <c r="Z433" s="24"/>
      <c r="AA433" s="24"/>
      <c r="AB433" s="29">
        <v>1.0</v>
      </c>
      <c r="AC433" s="29">
        <v>1.0</v>
      </c>
      <c r="AD433" s="29">
        <v>1.0</v>
      </c>
      <c r="AE433" s="29">
        <v>5.0</v>
      </c>
      <c r="AF433" s="29">
        <v>5.0</v>
      </c>
      <c r="AG433" s="29">
        <v>1.0</v>
      </c>
      <c r="AH433" s="29">
        <v>5.0</v>
      </c>
      <c r="AL433" s="6">
        <f t="shared" si="100"/>
        <v>2.273752568</v>
      </c>
      <c r="AN433" s="29">
        <f>7-G433</f>
        <v>2</v>
      </c>
      <c r="AO433" s="29">
        <f>7-J433</f>
        <v>0</v>
      </c>
      <c r="AQ433" s="29">
        <f t="shared" ref="AQ433:AS433" si="160">E433</f>
        <v>7</v>
      </c>
      <c r="AR433" s="29">
        <f t="shared" si="160"/>
        <v>7</v>
      </c>
      <c r="AS433" s="29">
        <f t="shared" si="160"/>
        <v>5</v>
      </c>
      <c r="AT433" s="29">
        <f>sum(C433,D433,E433,AN433,H433,I433,AO433)</f>
        <v>32</v>
      </c>
      <c r="AU433" s="29">
        <f>sum(P433:T433)</f>
        <v>20</v>
      </c>
      <c r="AV433" s="29">
        <f>sum(U433:X433)</f>
        <v>25</v>
      </c>
      <c r="AX433" s="29">
        <f t="shared" ref="AX433:BA433" si="161">AQ433-AQ211</f>
        <v>0</v>
      </c>
      <c r="AY433" s="29">
        <f t="shared" si="161"/>
        <v>0</v>
      </c>
      <c r="AZ433" s="29">
        <f t="shared" si="161"/>
        <v>0</v>
      </c>
      <c r="BA433" s="29">
        <f t="shared" si="161"/>
        <v>-5</v>
      </c>
      <c r="BB433" s="4"/>
      <c r="BC433" s="4"/>
      <c r="BE433" s="6">
        <f t="shared" si="101"/>
        <v>-0.1524995848</v>
      </c>
    </row>
    <row r="434">
      <c r="C434" s="30">
        <v>88.5</v>
      </c>
      <c r="D434" s="30">
        <v>88.5</v>
      </c>
      <c r="E434" s="30">
        <v>88.5</v>
      </c>
      <c r="F434" s="30">
        <v>88.5</v>
      </c>
      <c r="G434" s="30">
        <v>82.5</v>
      </c>
      <c r="H434" s="30">
        <v>88.5</v>
      </c>
      <c r="I434" s="30">
        <v>84.0</v>
      </c>
      <c r="J434" s="30">
        <v>88.5</v>
      </c>
      <c r="K434" s="30">
        <v>87.0</v>
      </c>
      <c r="L434" s="30">
        <v>79.5</v>
      </c>
      <c r="M434" s="30">
        <v>84.0</v>
      </c>
      <c r="N434" s="30">
        <v>75.0</v>
      </c>
      <c r="O434" s="30">
        <v>82.5</v>
      </c>
      <c r="P434" s="30">
        <v>87.0</v>
      </c>
      <c r="Q434" s="30">
        <v>72.0</v>
      </c>
      <c r="R434" s="30">
        <v>85.5</v>
      </c>
      <c r="S434" s="30">
        <v>87.0</v>
      </c>
      <c r="T434" s="30">
        <v>88.5</v>
      </c>
      <c r="U434" s="30">
        <v>87.0</v>
      </c>
      <c r="V434" s="30">
        <v>57.0</v>
      </c>
      <c r="W434" s="30">
        <v>85.5</v>
      </c>
      <c r="X434" s="30">
        <v>64.5</v>
      </c>
      <c r="Y434" s="29"/>
      <c r="Z434" s="29"/>
      <c r="AA434" s="29"/>
      <c r="AB434" s="30">
        <v>87.0</v>
      </c>
      <c r="AC434" s="30">
        <v>88.5</v>
      </c>
      <c r="AD434" s="30">
        <v>85.5</v>
      </c>
      <c r="AE434" s="30">
        <v>76.5</v>
      </c>
      <c r="AF434" s="30">
        <v>82.5</v>
      </c>
      <c r="AG434" s="30">
        <v>88.5</v>
      </c>
      <c r="AH434" s="30">
        <v>87.0</v>
      </c>
      <c r="AL434" s="6">
        <f t="shared" si="100"/>
        <v>7.665537684</v>
      </c>
      <c r="AN434" s="6"/>
      <c r="AO434" s="6"/>
      <c r="AQ434" s="6"/>
      <c r="AR434" s="6"/>
      <c r="AS434" s="6"/>
      <c r="AT434" s="6"/>
      <c r="AU434" s="6"/>
      <c r="AV434" s="6"/>
      <c r="AX434" s="6"/>
      <c r="AY434" s="6"/>
      <c r="AZ434" s="6"/>
      <c r="BA434" s="6"/>
      <c r="BB434" s="6"/>
      <c r="BC434" s="6"/>
      <c r="BE434" s="6">
        <f t="shared" si="101"/>
        <v>-2.976013464</v>
      </c>
    </row>
    <row r="435">
      <c r="B435" s="9" t="s">
        <v>33</v>
      </c>
      <c r="C435" s="29">
        <v>6.0</v>
      </c>
      <c r="D435" s="29">
        <v>5.0</v>
      </c>
      <c r="E435" s="29">
        <v>3.0</v>
      </c>
      <c r="F435" s="29">
        <v>4.0</v>
      </c>
      <c r="G435" s="29">
        <v>4.0</v>
      </c>
      <c r="H435" s="29">
        <v>3.0</v>
      </c>
      <c r="I435" s="29">
        <v>6.0</v>
      </c>
      <c r="J435" s="29">
        <v>1.0</v>
      </c>
      <c r="K435" s="29">
        <v>2.0</v>
      </c>
      <c r="L435" s="29">
        <v>2.0</v>
      </c>
      <c r="M435" s="29">
        <v>2.0</v>
      </c>
      <c r="N435" s="29">
        <v>6.0</v>
      </c>
      <c r="O435" s="29">
        <v>5.0</v>
      </c>
      <c r="P435" s="29">
        <v>6.0</v>
      </c>
      <c r="Q435" s="29">
        <v>5.0</v>
      </c>
      <c r="R435" s="29">
        <v>2.0</v>
      </c>
      <c r="S435" s="29">
        <v>5.0</v>
      </c>
      <c r="T435" s="29">
        <v>5.0</v>
      </c>
      <c r="U435" s="29">
        <v>1.0</v>
      </c>
      <c r="V435" s="29">
        <v>3.0</v>
      </c>
      <c r="W435" s="29">
        <v>2.0</v>
      </c>
      <c r="X435" s="29">
        <v>3.0</v>
      </c>
      <c r="Y435" s="24"/>
      <c r="Z435" s="24"/>
      <c r="AA435" s="24"/>
      <c r="AB435" s="29">
        <v>2.0</v>
      </c>
      <c r="AC435" s="29">
        <v>2.0</v>
      </c>
      <c r="AD435" s="29">
        <v>4.0</v>
      </c>
      <c r="AE435" s="29">
        <v>2.0</v>
      </c>
      <c r="AF435" s="29">
        <v>4.0</v>
      </c>
      <c r="AG435" s="29">
        <v>6.0</v>
      </c>
      <c r="AH435" s="29">
        <v>4.0</v>
      </c>
      <c r="AL435" s="6">
        <f t="shared" si="100"/>
        <v>1.634751906</v>
      </c>
      <c r="AN435" s="29">
        <f>7-G435</f>
        <v>3</v>
      </c>
      <c r="AO435" s="29">
        <f>7-J435</f>
        <v>6</v>
      </c>
      <c r="AQ435" s="29">
        <f t="shared" ref="AQ435:AS435" si="162">E435</f>
        <v>3</v>
      </c>
      <c r="AR435" s="29">
        <f t="shared" si="162"/>
        <v>4</v>
      </c>
      <c r="AS435" s="29">
        <f t="shared" si="162"/>
        <v>4</v>
      </c>
      <c r="AT435" s="29">
        <f>sum(C435,D435,E435,AN435,H435,I435,AO435)</f>
        <v>32</v>
      </c>
      <c r="AU435" s="29">
        <f>sum(P435:T435)</f>
        <v>23</v>
      </c>
      <c r="AV435" s="29">
        <f>sum(U435:X435)</f>
        <v>9</v>
      </c>
      <c r="AX435" s="29">
        <f t="shared" ref="AX435:BA435" si="163">AQ435-AQ213</f>
        <v>0</v>
      </c>
      <c r="AY435" s="29">
        <f t="shared" si="163"/>
        <v>0</v>
      </c>
      <c r="AZ435" s="29">
        <f t="shared" si="163"/>
        <v>-1</v>
      </c>
      <c r="BA435" s="29">
        <f t="shared" si="163"/>
        <v>5</v>
      </c>
      <c r="BB435" s="4"/>
      <c r="BC435" s="4"/>
      <c r="BE435" s="6">
        <f t="shared" si="101"/>
        <v>-0.3001492196</v>
      </c>
    </row>
    <row r="436">
      <c r="C436" s="30">
        <v>52.5</v>
      </c>
      <c r="D436" s="30">
        <v>34.5</v>
      </c>
      <c r="E436" s="30">
        <v>21.0</v>
      </c>
      <c r="F436" s="30">
        <v>40.5</v>
      </c>
      <c r="G436" s="30">
        <v>16.5</v>
      </c>
      <c r="H436" s="30">
        <v>70.5</v>
      </c>
      <c r="I436" s="30">
        <v>40.5</v>
      </c>
      <c r="J436" s="30">
        <v>60.0</v>
      </c>
      <c r="K436" s="30">
        <v>30.0</v>
      </c>
      <c r="L436" s="30">
        <v>60.0</v>
      </c>
      <c r="M436" s="30">
        <v>69.0</v>
      </c>
      <c r="N436" s="30">
        <v>64.5</v>
      </c>
      <c r="O436" s="30">
        <v>66.0</v>
      </c>
      <c r="P436" s="30">
        <v>79.5</v>
      </c>
      <c r="Q436" s="30">
        <v>60.0</v>
      </c>
      <c r="R436" s="30">
        <v>64.5</v>
      </c>
      <c r="S436" s="30">
        <v>60.0</v>
      </c>
      <c r="T436" s="30">
        <v>61.5</v>
      </c>
      <c r="U436" s="30">
        <v>90.0</v>
      </c>
      <c r="V436" s="30">
        <v>60.0</v>
      </c>
      <c r="W436" s="30">
        <v>90.0</v>
      </c>
      <c r="X436" s="30">
        <v>69.0</v>
      </c>
      <c r="Y436" s="29"/>
      <c r="Z436" s="29"/>
      <c r="AA436" s="29"/>
      <c r="AB436" s="30">
        <v>90.0</v>
      </c>
      <c r="AC436" s="30">
        <v>87.0</v>
      </c>
      <c r="AD436" s="30">
        <v>88.5</v>
      </c>
      <c r="AE436" s="30">
        <v>82.5</v>
      </c>
      <c r="AF436" s="30">
        <v>45.0</v>
      </c>
      <c r="AG436" s="30">
        <v>64.5</v>
      </c>
      <c r="AH436" s="30">
        <v>64.5</v>
      </c>
      <c r="AL436" s="6">
        <f t="shared" si="100"/>
        <v>20.23405229</v>
      </c>
      <c r="AN436" s="6"/>
      <c r="AO436" s="6"/>
      <c r="AQ436" s="6"/>
      <c r="AR436" s="6"/>
      <c r="AS436" s="6"/>
      <c r="AT436" s="6"/>
      <c r="AU436" s="6"/>
      <c r="AV436" s="6"/>
      <c r="AX436" s="6"/>
      <c r="AY436" s="6"/>
      <c r="AZ436" s="6"/>
      <c r="BA436" s="6"/>
      <c r="BB436" s="6"/>
      <c r="BC436" s="6"/>
      <c r="BE436" s="6">
        <f t="shared" si="101"/>
        <v>-7.31898658</v>
      </c>
    </row>
    <row r="437">
      <c r="B437" s="9" t="s">
        <v>34</v>
      </c>
      <c r="C437" s="29">
        <v>5.0</v>
      </c>
      <c r="D437" s="29">
        <v>6.0</v>
      </c>
      <c r="E437" s="29">
        <v>4.0</v>
      </c>
      <c r="F437" s="29">
        <v>1.0</v>
      </c>
      <c r="G437" s="29">
        <v>5.0</v>
      </c>
      <c r="H437" s="29">
        <v>2.0</v>
      </c>
      <c r="I437" s="29">
        <v>5.0</v>
      </c>
      <c r="J437" s="29">
        <v>5.0</v>
      </c>
      <c r="K437" s="29">
        <v>1.0</v>
      </c>
      <c r="L437" s="29">
        <v>1.0</v>
      </c>
      <c r="M437" s="29">
        <v>5.0</v>
      </c>
      <c r="N437" s="29">
        <v>6.0</v>
      </c>
      <c r="O437" s="29">
        <v>5.0</v>
      </c>
      <c r="P437" s="29">
        <v>1.0</v>
      </c>
      <c r="Q437" s="29">
        <v>1.0</v>
      </c>
      <c r="R437" s="29">
        <v>1.0</v>
      </c>
      <c r="S437" s="29">
        <v>1.0</v>
      </c>
      <c r="T437" s="29">
        <v>1.0</v>
      </c>
      <c r="U437" s="29">
        <v>1.0</v>
      </c>
      <c r="V437" s="29">
        <v>5.0</v>
      </c>
      <c r="W437" s="29">
        <v>2.0</v>
      </c>
      <c r="X437" s="29">
        <v>2.0</v>
      </c>
      <c r="Y437" s="24"/>
      <c r="Z437" s="24"/>
      <c r="AA437" s="24"/>
      <c r="AB437" s="29">
        <v>2.0</v>
      </c>
      <c r="AC437" s="29">
        <v>2.0</v>
      </c>
      <c r="AD437" s="29">
        <v>2.0</v>
      </c>
      <c r="AE437" s="29">
        <v>2.0</v>
      </c>
      <c r="AF437" s="29">
        <v>2.0</v>
      </c>
      <c r="AG437" s="29">
        <v>2.0</v>
      </c>
      <c r="AH437" s="29">
        <v>1.0</v>
      </c>
      <c r="AL437" s="6">
        <f t="shared" si="100"/>
        <v>1.830233235</v>
      </c>
      <c r="AN437" s="29">
        <f>7-G437</f>
        <v>2</v>
      </c>
      <c r="AO437" s="29">
        <f>7-J437</f>
        <v>2</v>
      </c>
      <c r="AQ437" s="29">
        <f t="shared" ref="AQ437:AS437" si="164">E437</f>
        <v>4</v>
      </c>
      <c r="AR437" s="29">
        <f t="shared" si="164"/>
        <v>1</v>
      </c>
      <c r="AS437" s="29">
        <f t="shared" si="164"/>
        <v>5</v>
      </c>
      <c r="AT437" s="29">
        <f>sum(C437,D437,E437,AN437,H437,I437,AO437)</f>
        <v>26</v>
      </c>
      <c r="AU437" s="29">
        <f>sum(P437:T437)</f>
        <v>5</v>
      </c>
      <c r="AV437" s="29">
        <f>sum(U437:X437)</f>
        <v>10</v>
      </c>
      <c r="AX437" s="29">
        <f t="shared" ref="AX437:BA437" si="165">AQ437-AQ215</f>
        <v>-2</v>
      </c>
      <c r="AY437" s="29">
        <f t="shared" si="165"/>
        <v>0</v>
      </c>
      <c r="AZ437" s="29">
        <f t="shared" si="165"/>
        <v>-1</v>
      </c>
      <c r="BA437" s="29">
        <f t="shared" si="165"/>
        <v>5</v>
      </c>
      <c r="BB437" s="4"/>
      <c r="BC437" s="4"/>
      <c r="BE437" s="6">
        <f t="shared" si="101"/>
        <v>-0.231020867</v>
      </c>
    </row>
    <row r="438">
      <c r="C438" s="30">
        <v>15.0</v>
      </c>
      <c r="D438" s="30">
        <v>33.0</v>
      </c>
      <c r="E438" s="30">
        <v>27.0</v>
      </c>
      <c r="F438" s="30">
        <v>79.5</v>
      </c>
      <c r="G438" s="30">
        <v>22.5</v>
      </c>
      <c r="H438" s="30">
        <v>55.5</v>
      </c>
      <c r="I438" s="30">
        <v>16.5</v>
      </c>
      <c r="J438" s="30">
        <v>16.5</v>
      </c>
      <c r="K438" s="30">
        <v>45.0</v>
      </c>
      <c r="L438" s="30">
        <v>72.0</v>
      </c>
      <c r="M438" s="30">
        <v>30.0</v>
      </c>
      <c r="N438" s="30">
        <v>33.0</v>
      </c>
      <c r="O438" s="30">
        <v>10.5</v>
      </c>
      <c r="P438" s="30">
        <v>60.0</v>
      </c>
      <c r="Q438" s="30">
        <v>76.5</v>
      </c>
      <c r="R438" s="30">
        <v>75.0</v>
      </c>
      <c r="S438" s="30">
        <v>81.0</v>
      </c>
      <c r="T438" s="30">
        <v>78.0</v>
      </c>
      <c r="U438" s="30">
        <v>79.5</v>
      </c>
      <c r="V438" s="30">
        <v>42.0</v>
      </c>
      <c r="W438" s="30">
        <v>63.0</v>
      </c>
      <c r="X438" s="30">
        <v>72.0</v>
      </c>
      <c r="Y438" s="29"/>
      <c r="Z438" s="29"/>
      <c r="AA438" s="29"/>
      <c r="AB438" s="30">
        <v>70.5</v>
      </c>
      <c r="AC438" s="30">
        <v>63.0</v>
      </c>
      <c r="AD438" s="30">
        <v>54.0</v>
      </c>
      <c r="AE438" s="30">
        <v>61.5</v>
      </c>
      <c r="AF438" s="30">
        <v>55.5</v>
      </c>
      <c r="AG438" s="30">
        <v>60.0</v>
      </c>
      <c r="AH438" s="30">
        <v>70.5</v>
      </c>
      <c r="AL438" s="6">
        <f t="shared" si="100"/>
        <v>22.82742064</v>
      </c>
      <c r="AN438" s="6"/>
      <c r="AO438" s="6"/>
      <c r="AQ438" s="6"/>
      <c r="AR438" s="6"/>
      <c r="AS438" s="6"/>
      <c r="AT438" s="6"/>
      <c r="AU438" s="6"/>
      <c r="AV438" s="6"/>
      <c r="AX438" s="6"/>
      <c r="AY438" s="6"/>
      <c r="AZ438" s="6"/>
      <c r="BA438" s="6"/>
      <c r="BB438" s="6"/>
      <c r="BC438" s="6"/>
      <c r="BE438" s="6">
        <f t="shared" si="101"/>
        <v>3.729152592</v>
      </c>
    </row>
    <row r="439">
      <c r="B439" s="9" t="s">
        <v>35</v>
      </c>
      <c r="C439" s="29">
        <v>7.0</v>
      </c>
      <c r="D439" s="29">
        <v>7.0</v>
      </c>
      <c r="E439" s="29">
        <v>6.0</v>
      </c>
      <c r="F439" s="29">
        <v>1.0</v>
      </c>
      <c r="G439" s="29">
        <v>1.0</v>
      </c>
      <c r="H439" s="29">
        <v>2.0</v>
      </c>
      <c r="I439" s="29">
        <v>3.0</v>
      </c>
      <c r="J439" s="29">
        <v>1.0</v>
      </c>
      <c r="K439" s="29">
        <v>2.0</v>
      </c>
      <c r="L439" s="29">
        <v>7.0</v>
      </c>
      <c r="M439" s="29">
        <v>1.0</v>
      </c>
      <c r="N439" s="29">
        <v>1.0</v>
      </c>
      <c r="O439" s="29">
        <v>7.0</v>
      </c>
      <c r="P439" s="29">
        <v>1.0</v>
      </c>
      <c r="Q439" s="29">
        <v>1.0</v>
      </c>
      <c r="R439" s="29">
        <v>1.0</v>
      </c>
      <c r="S439" s="29">
        <v>7.0</v>
      </c>
      <c r="T439" s="29">
        <v>7.0</v>
      </c>
      <c r="U439" s="29">
        <v>1.0</v>
      </c>
      <c r="V439" s="29">
        <v>5.0</v>
      </c>
      <c r="W439" s="29">
        <v>1.0</v>
      </c>
      <c r="X439" s="29">
        <v>2.0</v>
      </c>
      <c r="Y439" s="24"/>
      <c r="Z439" s="24"/>
      <c r="AA439" s="24"/>
      <c r="AB439" s="29">
        <v>1.0</v>
      </c>
      <c r="AC439" s="29">
        <v>1.0</v>
      </c>
      <c r="AD439" s="29">
        <v>1.0</v>
      </c>
      <c r="AE439" s="29">
        <v>1.0</v>
      </c>
      <c r="AF439" s="29">
        <v>1.0</v>
      </c>
      <c r="AG439" s="29">
        <v>1.0</v>
      </c>
      <c r="AH439" s="29">
        <v>2.0</v>
      </c>
      <c r="AL439" s="6">
        <f t="shared" si="100"/>
        <v>2.502215767</v>
      </c>
      <c r="AN439" s="29">
        <f>7-G439</f>
        <v>6</v>
      </c>
      <c r="AO439" s="29">
        <f>7-J439</f>
        <v>6</v>
      </c>
      <c r="AQ439" s="29">
        <f t="shared" ref="AQ439:AS439" si="166">E439</f>
        <v>6</v>
      </c>
      <c r="AR439" s="29">
        <f t="shared" si="166"/>
        <v>1</v>
      </c>
      <c r="AS439" s="29">
        <f t="shared" si="166"/>
        <v>1</v>
      </c>
      <c r="AT439" s="29">
        <f>sum(C439,D439,E439,AN439,H439,I439,AO439)</f>
        <v>37</v>
      </c>
      <c r="AU439" s="29">
        <f>sum(P439:T439)</f>
        <v>17</v>
      </c>
      <c r="AV439" s="29">
        <f>sum(U439:X439)</f>
        <v>9</v>
      </c>
      <c r="AX439" s="29">
        <f t="shared" ref="AX439:BA439" si="167">AQ439-AQ217</f>
        <v>2</v>
      </c>
      <c r="AY439" s="29">
        <f t="shared" si="167"/>
        <v>-3</v>
      </c>
      <c r="AZ439" s="29">
        <f t="shared" si="167"/>
        <v>0</v>
      </c>
      <c r="BA439" s="29">
        <f t="shared" si="167"/>
        <v>11</v>
      </c>
      <c r="BB439" s="4"/>
      <c r="BC439" s="4"/>
      <c r="BE439" s="6">
        <f t="shared" si="101"/>
        <v>0.5090006746</v>
      </c>
    </row>
    <row r="440">
      <c r="C440" s="30">
        <v>88.5</v>
      </c>
      <c r="D440" s="30">
        <v>90.0</v>
      </c>
      <c r="E440" s="30">
        <v>64.5</v>
      </c>
      <c r="F440" s="30">
        <v>75.0</v>
      </c>
      <c r="G440" s="30">
        <v>90.0</v>
      </c>
      <c r="H440" s="30">
        <v>84.0</v>
      </c>
      <c r="I440" s="30">
        <v>51.0</v>
      </c>
      <c r="J440" s="30">
        <v>70.5</v>
      </c>
      <c r="K440" s="30">
        <v>46.5</v>
      </c>
      <c r="L440" s="30">
        <v>90.0</v>
      </c>
      <c r="M440" s="30">
        <v>90.0</v>
      </c>
      <c r="N440" s="30">
        <v>90.0</v>
      </c>
      <c r="O440" s="30">
        <v>90.0</v>
      </c>
      <c r="P440" s="30">
        <v>90.0</v>
      </c>
      <c r="Q440" s="30">
        <v>90.0</v>
      </c>
      <c r="R440" s="30">
        <v>90.0</v>
      </c>
      <c r="S440" s="30">
        <v>90.0</v>
      </c>
      <c r="T440" s="30">
        <v>90.0</v>
      </c>
      <c r="U440" s="30">
        <v>90.0</v>
      </c>
      <c r="V440" s="30">
        <v>76.5</v>
      </c>
      <c r="W440" s="30">
        <v>90.0</v>
      </c>
      <c r="X440" s="30">
        <v>48.0</v>
      </c>
      <c r="Y440" s="29"/>
      <c r="Z440" s="29"/>
      <c r="AA440" s="29"/>
      <c r="AB440" s="30">
        <v>87.0</v>
      </c>
      <c r="AC440" s="30">
        <v>90.0</v>
      </c>
      <c r="AD440" s="30">
        <v>90.0</v>
      </c>
      <c r="AE440" s="30">
        <v>90.0</v>
      </c>
      <c r="AF440" s="30">
        <v>78.0</v>
      </c>
      <c r="AG440" s="30">
        <v>52.5</v>
      </c>
      <c r="AH440" s="30">
        <v>7.5</v>
      </c>
      <c r="AL440" s="6">
        <f t="shared" si="100"/>
        <v>19.83936414</v>
      </c>
      <c r="AN440" s="6"/>
      <c r="AO440" s="6"/>
      <c r="AQ440" s="6"/>
      <c r="AR440" s="6"/>
      <c r="AS440" s="6"/>
      <c r="AT440" s="6"/>
      <c r="AU440" s="6"/>
      <c r="AV440" s="6"/>
      <c r="AX440" s="6"/>
      <c r="AY440" s="6"/>
      <c r="AZ440" s="6"/>
      <c r="BA440" s="6"/>
      <c r="BB440" s="6"/>
      <c r="BC440" s="6"/>
      <c r="BE440" s="6">
        <f t="shared" si="101"/>
        <v>9.336725484</v>
      </c>
    </row>
    <row r="441">
      <c r="B441" s="9" t="s">
        <v>36</v>
      </c>
      <c r="C441" s="29">
        <v>5.0</v>
      </c>
      <c r="D441" s="29">
        <v>5.0</v>
      </c>
      <c r="E441" s="29">
        <v>5.0</v>
      </c>
      <c r="F441" s="29">
        <v>6.0</v>
      </c>
      <c r="G441" s="29">
        <v>5.0</v>
      </c>
      <c r="H441" s="29">
        <v>4.0</v>
      </c>
      <c r="I441" s="29">
        <v>5.0</v>
      </c>
      <c r="J441" s="29">
        <v>5.0</v>
      </c>
      <c r="K441" s="29">
        <v>6.0</v>
      </c>
      <c r="L441" s="29">
        <v>2.0</v>
      </c>
      <c r="M441" s="29">
        <v>5.0</v>
      </c>
      <c r="N441" s="29">
        <v>6.0</v>
      </c>
      <c r="O441" s="29">
        <v>5.0</v>
      </c>
      <c r="P441" s="29">
        <v>2.0</v>
      </c>
      <c r="Q441" s="29">
        <v>2.0</v>
      </c>
      <c r="R441" s="29">
        <v>2.0</v>
      </c>
      <c r="S441" s="29">
        <v>2.0</v>
      </c>
      <c r="T441" s="29">
        <v>3.0</v>
      </c>
      <c r="U441" s="29">
        <v>5.0</v>
      </c>
      <c r="V441" s="29">
        <v>5.0</v>
      </c>
      <c r="W441" s="29">
        <v>3.0</v>
      </c>
      <c r="X441" s="29">
        <v>6.0</v>
      </c>
      <c r="Y441" s="24"/>
      <c r="Z441" s="24"/>
      <c r="AA441" s="24"/>
      <c r="AB441" s="29">
        <v>2.0</v>
      </c>
      <c r="AC441" s="29">
        <v>3.0</v>
      </c>
      <c r="AD441" s="29">
        <v>4.0</v>
      </c>
      <c r="AE441" s="29">
        <v>2.0</v>
      </c>
      <c r="AF441" s="29">
        <v>6.0</v>
      </c>
      <c r="AG441" s="29">
        <v>4.0</v>
      </c>
      <c r="AH441" s="29">
        <v>4.0</v>
      </c>
      <c r="AL441" s="6">
        <f t="shared" si="100"/>
        <v>1.472239004</v>
      </c>
      <c r="AN441" s="29">
        <f>7-G441</f>
        <v>2</v>
      </c>
      <c r="AO441" s="29">
        <f>7-J441</f>
        <v>2</v>
      </c>
      <c r="AQ441" s="29">
        <f t="shared" ref="AQ441:AS441" si="168">E441</f>
        <v>5</v>
      </c>
      <c r="AR441" s="29">
        <f t="shared" si="168"/>
        <v>6</v>
      </c>
      <c r="AS441" s="29">
        <f t="shared" si="168"/>
        <v>5</v>
      </c>
      <c r="AT441" s="29">
        <f>sum(C441,D441,E441,AN441,H441,I441,AO441)</f>
        <v>28</v>
      </c>
      <c r="AU441" s="29">
        <f>sum(P441:T441)</f>
        <v>11</v>
      </c>
      <c r="AV441" s="29">
        <f>sum(U441:X441)</f>
        <v>19</v>
      </c>
      <c r="AX441" s="29">
        <f t="shared" ref="AX441:BA441" si="169">AQ441-AQ219</f>
        <v>-1</v>
      </c>
      <c r="AY441" s="29">
        <f t="shared" si="169"/>
        <v>0</v>
      </c>
      <c r="AZ441" s="29">
        <f t="shared" si="169"/>
        <v>0</v>
      </c>
      <c r="BA441" s="29">
        <f t="shared" si="169"/>
        <v>-4</v>
      </c>
      <c r="BB441" s="4"/>
      <c r="BC441" s="4"/>
      <c r="BE441" s="6">
        <f t="shared" si="101"/>
        <v>-0.2950053791</v>
      </c>
    </row>
    <row r="442">
      <c r="C442" s="30">
        <v>54.0</v>
      </c>
      <c r="D442" s="30">
        <v>57.0</v>
      </c>
      <c r="E442" s="30">
        <v>61.5</v>
      </c>
      <c r="F442" s="30">
        <v>72.0</v>
      </c>
      <c r="G442" s="30">
        <v>31.5</v>
      </c>
      <c r="H442" s="30">
        <v>42.0</v>
      </c>
      <c r="I442" s="30">
        <v>30.0</v>
      </c>
      <c r="J442" s="30">
        <v>49.5</v>
      </c>
      <c r="K442" s="30">
        <v>76.5</v>
      </c>
      <c r="L442" s="30">
        <v>43.5</v>
      </c>
      <c r="M442" s="30">
        <v>16.5</v>
      </c>
      <c r="N442" s="30">
        <v>63.0</v>
      </c>
      <c r="O442" s="30">
        <v>45.0</v>
      </c>
      <c r="P442" s="30">
        <v>66.0</v>
      </c>
      <c r="Q442" s="30">
        <v>64.5</v>
      </c>
      <c r="R442" s="30">
        <v>63.0</v>
      </c>
      <c r="S442" s="30">
        <v>70.5</v>
      </c>
      <c r="T442" s="30">
        <v>51.0</v>
      </c>
      <c r="U442" s="30">
        <v>64.5</v>
      </c>
      <c r="V442" s="30">
        <v>45.0</v>
      </c>
      <c r="W442" s="30">
        <v>79.5</v>
      </c>
      <c r="X442" s="30">
        <v>87.0</v>
      </c>
      <c r="Y442" s="29"/>
      <c r="Z442" s="29"/>
      <c r="AA442" s="29"/>
      <c r="AB442" s="30">
        <v>88.5</v>
      </c>
      <c r="AC442" s="30">
        <v>70.5</v>
      </c>
      <c r="AD442" s="30">
        <v>67.5</v>
      </c>
      <c r="AE442" s="30">
        <v>82.5</v>
      </c>
      <c r="AF442" s="30">
        <v>84.0</v>
      </c>
      <c r="AG442" s="30">
        <v>48.0</v>
      </c>
      <c r="AH442" s="30">
        <v>46.5</v>
      </c>
      <c r="AL442" s="6">
        <f t="shared" si="100"/>
        <v>17.92209125</v>
      </c>
      <c r="AN442" s="6"/>
      <c r="AO442" s="6"/>
      <c r="AQ442" s="6"/>
      <c r="AR442" s="6"/>
      <c r="AS442" s="6"/>
      <c r="AT442" s="6"/>
      <c r="AU442" s="6"/>
      <c r="AV442" s="6"/>
      <c r="AX442" s="6"/>
      <c r="AY442" s="6"/>
      <c r="AZ442" s="6"/>
      <c r="BA442" s="6"/>
      <c r="BB442" s="6"/>
      <c r="BC442" s="6"/>
      <c r="BE442" s="6">
        <f t="shared" si="101"/>
        <v>-1.121399941</v>
      </c>
    </row>
    <row r="444">
      <c r="B444" s="2" t="s">
        <v>154</v>
      </c>
      <c r="C444" s="3">
        <v>1.0</v>
      </c>
      <c r="D444" s="3">
        <v>2.0</v>
      </c>
      <c r="E444" s="3">
        <v>3.0</v>
      </c>
      <c r="F444" s="3">
        <v>4.0</v>
      </c>
      <c r="G444" s="3">
        <v>5.0</v>
      </c>
      <c r="H444" s="3">
        <v>6.0</v>
      </c>
      <c r="I444" s="3">
        <v>7.0</v>
      </c>
      <c r="J444" s="3">
        <v>8.0</v>
      </c>
      <c r="K444" s="3">
        <v>9.0</v>
      </c>
      <c r="L444" s="3">
        <v>10.0</v>
      </c>
      <c r="M444" s="3">
        <v>11.0</v>
      </c>
      <c r="N444" s="3">
        <v>12.0</v>
      </c>
      <c r="O444" s="3">
        <v>13.0</v>
      </c>
      <c r="P444" s="3">
        <v>14.0</v>
      </c>
      <c r="Q444" s="3">
        <v>15.0</v>
      </c>
      <c r="R444" s="3">
        <v>16.0</v>
      </c>
      <c r="S444" s="3">
        <v>17.0</v>
      </c>
      <c r="T444" s="3">
        <v>18.0</v>
      </c>
      <c r="U444" s="3">
        <v>19.0</v>
      </c>
      <c r="V444" s="3">
        <v>20.0</v>
      </c>
      <c r="W444" s="3">
        <v>21.0</v>
      </c>
      <c r="X444" s="3">
        <v>22.0</v>
      </c>
      <c r="Y444" s="3">
        <v>23.0</v>
      </c>
      <c r="Z444" s="3">
        <v>24.0</v>
      </c>
      <c r="AA444" s="3">
        <v>25.0</v>
      </c>
      <c r="AB444" s="3">
        <v>26.0</v>
      </c>
      <c r="AC444" s="3">
        <v>27.0</v>
      </c>
      <c r="AD444" s="3">
        <v>28.0</v>
      </c>
      <c r="AE444" s="3">
        <v>29.0</v>
      </c>
      <c r="AF444" s="3">
        <v>30.0</v>
      </c>
      <c r="AG444" s="3">
        <v>31.0</v>
      </c>
      <c r="AH444" s="3">
        <v>32.0</v>
      </c>
      <c r="AI444" s="3">
        <v>33.0</v>
      </c>
      <c r="AJ444" s="3">
        <v>34.0</v>
      </c>
      <c r="AK444" s="3">
        <v>35.0</v>
      </c>
      <c r="AL444" s="3">
        <v>36.0</v>
      </c>
      <c r="AM444" s="3">
        <v>37.0</v>
      </c>
      <c r="AN444" s="3">
        <v>38.0</v>
      </c>
      <c r="AO444" s="3">
        <v>39.0</v>
      </c>
      <c r="AP444" s="3">
        <v>40.0</v>
      </c>
      <c r="AQ444" s="3">
        <v>41.0</v>
      </c>
      <c r="AR444" s="3">
        <v>42.0</v>
      </c>
      <c r="AS444" s="3">
        <v>43.0</v>
      </c>
      <c r="AT444" s="3">
        <v>44.0</v>
      </c>
      <c r="AU444" s="3">
        <v>45.0</v>
      </c>
      <c r="AV444" s="3">
        <v>46.0</v>
      </c>
      <c r="AW444" s="3">
        <v>47.0</v>
      </c>
      <c r="AX444" s="3">
        <v>48.0</v>
      </c>
      <c r="AY444" s="3">
        <v>49.0</v>
      </c>
      <c r="AZ444" s="3">
        <v>50.0</v>
      </c>
      <c r="BA444" s="3">
        <v>51.0</v>
      </c>
      <c r="BB444" s="3">
        <v>52.0</v>
      </c>
      <c r="BC444" s="3">
        <v>53.0</v>
      </c>
      <c r="BD444" s="3">
        <v>54.0</v>
      </c>
      <c r="BE444" s="3">
        <v>55.0</v>
      </c>
      <c r="BF444" s="3">
        <v>56.0</v>
      </c>
      <c r="BG444" s="3">
        <v>57.0</v>
      </c>
      <c r="BH444" s="3">
        <v>58.0</v>
      </c>
      <c r="BI444" s="3">
        <v>59.0</v>
      </c>
      <c r="BJ444" s="3">
        <v>60.0</v>
      </c>
      <c r="BK444" s="3">
        <v>61.0</v>
      </c>
      <c r="BL444" s="3">
        <v>62.0</v>
      </c>
      <c r="BM444" s="3">
        <v>63.0</v>
      </c>
      <c r="BN444" s="3">
        <v>64.0</v>
      </c>
      <c r="BO444" s="3">
        <v>65.0</v>
      </c>
      <c r="BP444" s="3">
        <v>66.0</v>
      </c>
      <c r="BQ444" s="3">
        <v>67.0</v>
      </c>
      <c r="BR444" s="3">
        <v>68.0</v>
      </c>
      <c r="BS444" s="3">
        <v>69.0</v>
      </c>
      <c r="BT444" s="3">
        <v>70.0</v>
      </c>
      <c r="BU444" s="3">
        <v>71.0</v>
      </c>
      <c r="BV444" s="3">
        <v>72.0</v>
      </c>
      <c r="BW444" s="3">
        <v>73.0</v>
      </c>
      <c r="BX444" s="3">
        <v>74.0</v>
      </c>
      <c r="BY444" s="3">
        <v>75.0</v>
      </c>
      <c r="BZ444" s="3">
        <v>76.0</v>
      </c>
      <c r="CA444" s="3">
        <v>77.0</v>
      </c>
      <c r="CB444" s="3">
        <v>78.0</v>
      </c>
      <c r="CC444" s="3">
        <v>79.0</v>
      </c>
      <c r="CD444" s="3">
        <v>80.0</v>
      </c>
      <c r="CE444" s="3">
        <v>81.0</v>
      </c>
      <c r="CF444" s="3">
        <v>82.0</v>
      </c>
      <c r="CG444" s="3">
        <v>83.0</v>
      </c>
      <c r="CH444" s="3">
        <v>84.0</v>
      </c>
      <c r="CI444" s="3">
        <v>85.0</v>
      </c>
      <c r="CJ444" s="3">
        <v>86.0</v>
      </c>
      <c r="CK444" s="3">
        <v>87.0</v>
      </c>
      <c r="CL444" s="3">
        <v>88.0</v>
      </c>
      <c r="CM444" s="3">
        <v>89.0</v>
      </c>
      <c r="CN444" s="3">
        <v>90.0</v>
      </c>
      <c r="CO444" s="3">
        <v>91.0</v>
      </c>
      <c r="CP444" s="3">
        <v>92.0</v>
      </c>
      <c r="CQ444" s="3">
        <v>93.0</v>
      </c>
      <c r="CR444" s="3">
        <v>94.0</v>
      </c>
      <c r="CT444" s="4">
        <v>90.0</v>
      </c>
      <c r="CV444" s="10" t="s">
        <v>155</v>
      </c>
      <c r="CW444" s="10" t="s">
        <v>156</v>
      </c>
      <c r="CX444" s="10" t="s">
        <v>157</v>
      </c>
      <c r="CY444" s="10" t="s">
        <v>158</v>
      </c>
      <c r="CZ444" s="10" t="s">
        <v>159</v>
      </c>
      <c r="DA444" s="10" t="s">
        <v>160</v>
      </c>
      <c r="DB444" s="10" t="s">
        <v>161</v>
      </c>
      <c r="DC444" s="10" t="s">
        <v>162</v>
      </c>
      <c r="DD444" s="10" t="s">
        <v>163</v>
      </c>
      <c r="DE444" s="10" t="s">
        <v>164</v>
      </c>
      <c r="DF444" s="10" t="s">
        <v>165</v>
      </c>
      <c r="DG444" s="10" t="s">
        <v>166</v>
      </c>
      <c r="DH444" s="10" t="s">
        <v>167</v>
      </c>
      <c r="DI444" s="10" t="s">
        <v>168</v>
      </c>
      <c r="DJ444" s="10" t="s">
        <v>169</v>
      </c>
      <c r="DK444" s="10" t="s">
        <v>170</v>
      </c>
      <c r="DL444" s="10" t="s">
        <v>171</v>
      </c>
      <c r="DM444" s="10" t="s">
        <v>172</v>
      </c>
      <c r="DN444" s="10" t="s">
        <v>173</v>
      </c>
      <c r="DO444" s="10" t="s">
        <v>174</v>
      </c>
      <c r="DP444" s="10" t="s">
        <v>175</v>
      </c>
      <c r="DQ444" s="10" t="s">
        <v>176</v>
      </c>
      <c r="DR444" s="1"/>
      <c r="DS444" s="1"/>
      <c r="DT444" s="1"/>
      <c r="DU444" s="1"/>
      <c r="DV444" s="1" t="s">
        <v>177</v>
      </c>
      <c r="DW444" s="1"/>
      <c r="DX444" s="1"/>
      <c r="DY444" s="1" t="s">
        <v>178</v>
      </c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</row>
    <row r="445">
      <c r="B445" s="5" t="s">
        <v>2</v>
      </c>
      <c r="C445" s="6">
        <v>73.0</v>
      </c>
      <c r="D445" s="6">
        <v>83.0</v>
      </c>
      <c r="E445" s="6">
        <v>83.0</v>
      </c>
      <c r="F445" s="6">
        <v>2.0</v>
      </c>
      <c r="G445" s="6">
        <v>56.0</v>
      </c>
      <c r="H445" s="6">
        <v>2.0</v>
      </c>
      <c r="I445" s="6">
        <v>2.0</v>
      </c>
      <c r="J445" s="6">
        <v>1.0</v>
      </c>
      <c r="K445" s="6">
        <v>87.0</v>
      </c>
      <c r="L445" s="6">
        <v>2.0</v>
      </c>
      <c r="M445" s="6">
        <v>1.0</v>
      </c>
      <c r="N445" s="6">
        <v>58.0</v>
      </c>
      <c r="O445" s="6">
        <v>2.0</v>
      </c>
      <c r="P445" s="6">
        <v>86.0</v>
      </c>
      <c r="Q445" s="6">
        <v>87.0</v>
      </c>
      <c r="R445" s="6">
        <v>30.0</v>
      </c>
      <c r="S445" s="6">
        <v>1.0</v>
      </c>
      <c r="T445" s="6">
        <v>87.0</v>
      </c>
      <c r="U445" s="6">
        <v>2.0</v>
      </c>
      <c r="V445" s="6">
        <v>55.0</v>
      </c>
      <c r="W445" s="6">
        <v>1.0</v>
      </c>
      <c r="X445" s="6">
        <v>87.0</v>
      </c>
      <c r="Y445" s="6">
        <v>70.0</v>
      </c>
      <c r="Z445" s="6">
        <v>2.0</v>
      </c>
      <c r="AA445" s="6">
        <v>2.0</v>
      </c>
      <c r="AB445" s="6">
        <v>24.0</v>
      </c>
      <c r="AC445" s="6">
        <v>12.0</v>
      </c>
      <c r="AD445" s="6">
        <v>2.0</v>
      </c>
      <c r="AE445" s="6">
        <v>11.0</v>
      </c>
      <c r="AF445" s="6">
        <v>2.0</v>
      </c>
      <c r="AG445" s="6">
        <v>40.0</v>
      </c>
      <c r="AH445" s="6">
        <v>2.0</v>
      </c>
      <c r="AI445" s="6">
        <v>87.0</v>
      </c>
      <c r="AJ445" s="6">
        <v>88.0</v>
      </c>
      <c r="AK445" s="6">
        <v>87.0</v>
      </c>
      <c r="AL445" s="6">
        <v>87.0</v>
      </c>
      <c r="AM445" s="6">
        <v>2.0</v>
      </c>
      <c r="AN445" s="6">
        <v>1.0</v>
      </c>
      <c r="AO445" s="6">
        <v>24.0</v>
      </c>
      <c r="AP445" s="6">
        <v>18.0</v>
      </c>
      <c r="AQ445" s="6">
        <v>72.0</v>
      </c>
      <c r="AR445" s="6">
        <v>77.0</v>
      </c>
      <c r="AS445" s="6">
        <v>3.0</v>
      </c>
      <c r="AT445" s="6">
        <v>2.0</v>
      </c>
      <c r="AU445" s="6">
        <v>21.0</v>
      </c>
      <c r="AV445" s="6">
        <v>2.0</v>
      </c>
      <c r="AW445" s="6">
        <v>2.0</v>
      </c>
      <c r="AX445" s="6">
        <v>3.0</v>
      </c>
      <c r="AY445" s="6">
        <v>31.0</v>
      </c>
      <c r="AZ445" s="6">
        <v>87.0</v>
      </c>
      <c r="BA445" s="6">
        <v>2.0</v>
      </c>
      <c r="BB445" s="6">
        <v>23.0</v>
      </c>
      <c r="BC445" s="6">
        <v>2.0</v>
      </c>
      <c r="BD445" s="6">
        <v>3.0</v>
      </c>
      <c r="BE445" s="6">
        <v>22.0</v>
      </c>
      <c r="BF445" s="6">
        <v>3.0</v>
      </c>
      <c r="BG445" s="6">
        <v>67.0</v>
      </c>
      <c r="BH445" s="6">
        <v>66.0</v>
      </c>
      <c r="BI445" s="6">
        <v>23.0</v>
      </c>
      <c r="BJ445" s="6">
        <v>2.0</v>
      </c>
      <c r="BK445" s="6">
        <v>19.0</v>
      </c>
      <c r="BL445" s="6">
        <v>12.0</v>
      </c>
      <c r="BM445" s="6">
        <v>36.0</v>
      </c>
      <c r="BN445" s="6">
        <v>2.0</v>
      </c>
      <c r="BO445" s="6">
        <v>2.0</v>
      </c>
      <c r="BP445" s="6">
        <v>33.0</v>
      </c>
      <c r="BQ445" s="6">
        <v>18.0</v>
      </c>
      <c r="BR445" s="6">
        <v>2.0</v>
      </c>
      <c r="BS445" s="6">
        <v>5.0</v>
      </c>
      <c r="BT445" s="6">
        <v>5.0</v>
      </c>
      <c r="BU445" s="6">
        <v>29.0</v>
      </c>
      <c r="BV445" s="6">
        <v>16.0</v>
      </c>
      <c r="BW445" s="6">
        <v>84.0</v>
      </c>
      <c r="BX445" s="6">
        <v>24.0</v>
      </c>
      <c r="BY445" s="6">
        <v>39.0</v>
      </c>
      <c r="BZ445" s="6">
        <v>2.0</v>
      </c>
      <c r="CA445" s="6">
        <v>11.0</v>
      </c>
      <c r="CB445" s="6">
        <v>1.0</v>
      </c>
      <c r="CC445" s="6">
        <v>2.0</v>
      </c>
      <c r="CD445" s="6">
        <v>1.0</v>
      </c>
      <c r="CE445" s="6">
        <v>78.0</v>
      </c>
      <c r="CF445" s="6">
        <v>7.0</v>
      </c>
      <c r="CG445" s="6">
        <v>1.0</v>
      </c>
      <c r="CH445" s="6">
        <v>2.0</v>
      </c>
      <c r="CI445" s="6">
        <v>0.0</v>
      </c>
      <c r="CJ445" s="6">
        <v>73.0</v>
      </c>
      <c r="CK445" s="6">
        <v>60.0</v>
      </c>
      <c r="CL445" s="6">
        <v>8.0</v>
      </c>
      <c r="CM445" s="6">
        <v>1.0</v>
      </c>
      <c r="CN445" s="6">
        <v>1.0</v>
      </c>
      <c r="CO445" s="6">
        <v>64.0</v>
      </c>
      <c r="CP445" s="6">
        <v>6.0</v>
      </c>
      <c r="CQ445" s="6">
        <v>3.0</v>
      </c>
      <c r="CR445" s="6">
        <v>62.0</v>
      </c>
      <c r="CV445" s="6">
        <f t="shared" ref="CV445:CV479" si="170">SUM(T445,AJ445,AQ445,AR445,BB445)</f>
        <v>347</v>
      </c>
      <c r="CW445" s="6">
        <f t="shared" ref="CW445:CW479" si="171">SUM(K445,CE445,CH445)</f>
        <v>167</v>
      </c>
      <c r="CX445" s="6">
        <f t="shared" ref="CX445:CX479" si="172">SUM(N445,CJ445,CO445)</f>
        <v>195</v>
      </c>
      <c r="CY445" s="6">
        <f t="shared" ref="CY445:CY479" si="173">SUM(AZ445,BS445,CA445)</f>
        <v>103</v>
      </c>
      <c r="CZ445" s="6">
        <f t="shared" ref="CZ445:CZ479" si="174">SUM(AB445,BL445,BM445)</f>
        <v>72</v>
      </c>
      <c r="DA445" s="6">
        <f t="shared" ref="DA445:DA479" si="175">SUM(J445,AC445,AN445,AW445,BN445,BQ445,CB445)</f>
        <v>37</v>
      </c>
      <c r="DB445" s="6">
        <f t="shared" ref="DB445:DB479" si="176">SUM(AH445,AS445,AT445,AV445,BF445,CM445)</f>
        <v>13</v>
      </c>
      <c r="DC445" s="6">
        <f t="shared" ref="DC445:DC479" si="177">SUM(AO445,CC445,CF445)</f>
        <v>33</v>
      </c>
      <c r="DD445" s="6">
        <f t="shared" ref="DD445:DD479" si="178">SUM(P445,X445,AI445)</f>
        <v>260</v>
      </c>
      <c r="DE445" s="6">
        <f t="shared" ref="DE445:DE479" si="179">SUM(V445,Y445,BY445)</f>
        <v>164</v>
      </c>
      <c r="DF445" s="6">
        <f t="shared" ref="DF445:DF479" si="180">SUM(AD445,AG445,BD445)</f>
        <v>45</v>
      </c>
      <c r="DG445" s="6">
        <f t="shared" ref="DG445:DG479" si="181">SUM(C445,K445,T445,AJ445,BG445,BU445,CK445)</f>
        <v>491</v>
      </c>
      <c r="DH445" s="6">
        <f t="shared" ref="DH445:DH479" si="182">SUM(R445,AB445,BL445,BM445)</f>
        <v>102</v>
      </c>
      <c r="DI445" s="6">
        <f t="shared" ref="DI445:DI479" si="183">SUM(AL445,AQ445,BB445)</f>
        <v>182</v>
      </c>
      <c r="DJ445" s="6">
        <f t="shared" ref="DJ445:DJ479" si="184">SUM(W445,AS445,AT445,AV445,BN445,CI445)</f>
        <v>10</v>
      </c>
      <c r="DK445" s="6">
        <f t="shared" ref="DK445:DK479" si="185">SUM(AC445,AN445,BQ445,CL445)</f>
        <v>39</v>
      </c>
      <c r="DL445" s="6">
        <f t="shared" ref="DL445:DL479" si="186">SUM(H445,BF445,CM445)</f>
        <v>6</v>
      </c>
      <c r="DM445" s="6">
        <f t="shared" ref="DM445:DM479" si="187">SUM(P445,X445,AI445,CG445)</f>
        <v>261</v>
      </c>
      <c r="DN445" s="6">
        <f t="shared" ref="DN445:DN479" si="188">SUM(I445,AO445)</f>
        <v>26</v>
      </c>
      <c r="DO445" s="6">
        <f t="shared" ref="DO445:DO479" si="189">SUM(V445,Y445,BY445)</f>
        <v>164</v>
      </c>
      <c r="DP445" s="6">
        <f t="shared" ref="DP445:DP479" si="190">SUM(F445,G445,M445,O445,U445,AA445,AF445,AX445,AY445,BE445,BO445,BX445,BZ445,CP445,CQ445)</f>
        <v>160</v>
      </c>
      <c r="DQ445" s="6">
        <f t="shared" ref="DQ445:DQ479" si="191">SUM(D445,L445,Q445,S445,Z445,AE445,AM445,BA445,BI445,BK445,BR445,CH445)</f>
        <v>236</v>
      </c>
      <c r="DR445" s="4"/>
      <c r="DS445" s="4"/>
      <c r="DT445" s="4"/>
      <c r="DU445" s="4"/>
      <c r="DV445" s="1" t="s">
        <v>179</v>
      </c>
      <c r="DW445" s="1" t="s">
        <v>180</v>
      </c>
      <c r="DX445" s="15"/>
      <c r="DY445" s="1" t="s">
        <v>179</v>
      </c>
      <c r="DZ445" s="1" t="s">
        <v>181</v>
      </c>
      <c r="EA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</row>
    <row r="446">
      <c r="B446" s="5" t="s">
        <v>3</v>
      </c>
      <c r="C446" s="6">
        <v>13.0</v>
      </c>
      <c r="D446" s="6">
        <v>65.0</v>
      </c>
      <c r="E446" s="6">
        <v>88.0</v>
      </c>
      <c r="F446" s="6">
        <v>1.0</v>
      </c>
      <c r="G446" s="6">
        <v>2.0</v>
      </c>
      <c r="H446" s="6">
        <v>1.0</v>
      </c>
      <c r="I446" s="6">
        <v>90.0</v>
      </c>
      <c r="J446" s="6">
        <v>0.0</v>
      </c>
      <c r="K446" s="6">
        <v>67.0</v>
      </c>
      <c r="L446" s="6">
        <v>0.0</v>
      </c>
      <c r="M446" s="6">
        <v>0.0</v>
      </c>
      <c r="N446" s="6">
        <v>63.0</v>
      </c>
      <c r="O446" s="6">
        <v>2.0</v>
      </c>
      <c r="P446" s="6">
        <v>90.0</v>
      </c>
      <c r="Q446" s="6">
        <v>56.0</v>
      </c>
      <c r="R446" s="6">
        <v>15.0</v>
      </c>
      <c r="S446" s="6">
        <v>34.0</v>
      </c>
      <c r="T446" s="6">
        <v>46.0</v>
      </c>
      <c r="U446" s="6">
        <v>1.0</v>
      </c>
      <c r="V446" s="6">
        <v>90.0</v>
      </c>
      <c r="W446" s="6">
        <v>0.0</v>
      </c>
      <c r="X446" s="6">
        <v>81.0</v>
      </c>
      <c r="Y446" s="6">
        <v>90.0</v>
      </c>
      <c r="Z446" s="6">
        <v>0.0</v>
      </c>
      <c r="AA446" s="6">
        <v>2.0</v>
      </c>
      <c r="AB446" s="6">
        <v>69.0</v>
      </c>
      <c r="AC446" s="6">
        <v>13.0</v>
      </c>
      <c r="AD446" s="6">
        <v>8.0</v>
      </c>
      <c r="AE446" s="6">
        <v>8.0</v>
      </c>
      <c r="AF446" s="6">
        <v>1.0</v>
      </c>
      <c r="AG446" s="6">
        <v>0.0</v>
      </c>
      <c r="AH446" s="6">
        <v>1.0</v>
      </c>
      <c r="AI446" s="6">
        <v>90.0</v>
      </c>
      <c r="AJ446" s="6">
        <v>21.0</v>
      </c>
      <c r="AK446" s="6">
        <v>64.0</v>
      </c>
      <c r="AL446" s="6">
        <v>76.0</v>
      </c>
      <c r="AM446" s="6">
        <v>20.0</v>
      </c>
      <c r="AN446" s="6">
        <v>0.0</v>
      </c>
      <c r="AO446" s="6">
        <v>68.0</v>
      </c>
      <c r="AP446" s="6">
        <v>0.0</v>
      </c>
      <c r="AQ446" s="6">
        <v>16.0</v>
      </c>
      <c r="AR446" s="6">
        <v>0.0</v>
      </c>
      <c r="AS446" s="6">
        <v>0.0</v>
      </c>
      <c r="AT446" s="6">
        <v>0.0</v>
      </c>
      <c r="AU446" s="6">
        <v>90.0</v>
      </c>
      <c r="AV446" s="6">
        <v>0.0</v>
      </c>
      <c r="AW446" s="6">
        <v>17.0</v>
      </c>
      <c r="AX446" s="6">
        <v>0.0</v>
      </c>
      <c r="AY446" s="6">
        <v>0.0</v>
      </c>
      <c r="AZ446" s="6">
        <v>63.0</v>
      </c>
      <c r="BA446" s="6">
        <v>15.0</v>
      </c>
      <c r="BB446" s="6">
        <v>0.0</v>
      </c>
      <c r="BC446" s="6">
        <v>1.0</v>
      </c>
      <c r="BD446" s="6">
        <v>0.0</v>
      </c>
      <c r="BE446" s="6">
        <v>0.0</v>
      </c>
      <c r="BF446" s="6">
        <v>0.0</v>
      </c>
      <c r="BG446" s="6">
        <v>71.0</v>
      </c>
      <c r="BH446" s="6">
        <v>0.0</v>
      </c>
      <c r="BI446" s="6">
        <v>1.0</v>
      </c>
      <c r="BJ446" s="6">
        <v>23.0</v>
      </c>
      <c r="BK446" s="6">
        <v>8.0</v>
      </c>
      <c r="BL446" s="6">
        <v>60.0</v>
      </c>
      <c r="BM446" s="6">
        <v>55.0</v>
      </c>
      <c r="BN446" s="6">
        <v>16.0</v>
      </c>
      <c r="BO446" s="6">
        <v>0.0</v>
      </c>
      <c r="BP446" s="6">
        <v>1.0</v>
      </c>
      <c r="BQ446" s="6">
        <v>62.0</v>
      </c>
      <c r="BR446" s="6">
        <v>0.0</v>
      </c>
      <c r="BS446" s="6">
        <v>0.0</v>
      </c>
      <c r="BT446" s="6">
        <v>68.0</v>
      </c>
      <c r="BU446" s="6">
        <v>65.0</v>
      </c>
      <c r="BV446" s="6">
        <v>0.0</v>
      </c>
      <c r="BW446" s="6">
        <v>10.0</v>
      </c>
      <c r="BX446" s="6">
        <v>2.0</v>
      </c>
      <c r="BY446" s="6">
        <v>90.0</v>
      </c>
      <c r="BZ446" s="6">
        <v>0.0</v>
      </c>
      <c r="CA446" s="6">
        <v>0.0</v>
      </c>
      <c r="CB446" s="6">
        <v>0.0</v>
      </c>
      <c r="CC446" s="6">
        <v>0.0</v>
      </c>
      <c r="CD446" s="6">
        <v>2.0</v>
      </c>
      <c r="CE446" s="6">
        <v>61.0</v>
      </c>
      <c r="CF446" s="6">
        <v>16.0</v>
      </c>
      <c r="CG446" s="6">
        <v>0.0</v>
      </c>
      <c r="CH446" s="6">
        <v>46.0</v>
      </c>
      <c r="CI446" s="6">
        <v>0.0</v>
      </c>
      <c r="CJ446" s="6">
        <v>23.0</v>
      </c>
      <c r="CK446" s="6">
        <v>0.0</v>
      </c>
      <c r="CL446" s="6">
        <v>90.0</v>
      </c>
      <c r="CM446" s="6">
        <v>0.0</v>
      </c>
      <c r="CN446" s="6">
        <v>1.0</v>
      </c>
      <c r="CO446" s="6">
        <v>12.0</v>
      </c>
      <c r="CP446" s="6">
        <v>0.0</v>
      </c>
      <c r="CQ446" s="6">
        <v>0.0</v>
      </c>
      <c r="CR446" s="6">
        <v>23.0</v>
      </c>
      <c r="CV446" s="6">
        <f t="shared" si="170"/>
        <v>83</v>
      </c>
      <c r="CW446" s="6">
        <f t="shared" si="171"/>
        <v>174</v>
      </c>
      <c r="CX446" s="6">
        <f t="shared" si="172"/>
        <v>98</v>
      </c>
      <c r="CY446" s="6">
        <f t="shared" si="173"/>
        <v>63</v>
      </c>
      <c r="CZ446" s="6">
        <f t="shared" si="174"/>
        <v>184</v>
      </c>
      <c r="DA446" s="6">
        <f t="shared" si="175"/>
        <v>108</v>
      </c>
      <c r="DB446" s="6">
        <f t="shared" si="176"/>
        <v>1</v>
      </c>
      <c r="DC446" s="6">
        <f t="shared" si="177"/>
        <v>84</v>
      </c>
      <c r="DD446" s="6">
        <f t="shared" si="178"/>
        <v>261</v>
      </c>
      <c r="DE446" s="6">
        <f t="shared" si="179"/>
        <v>270</v>
      </c>
      <c r="DF446" s="6">
        <f t="shared" si="180"/>
        <v>8</v>
      </c>
      <c r="DG446" s="6">
        <f t="shared" si="181"/>
        <v>283</v>
      </c>
      <c r="DH446" s="6">
        <f t="shared" si="182"/>
        <v>199</v>
      </c>
      <c r="DI446" s="6">
        <f t="shared" si="183"/>
        <v>92</v>
      </c>
      <c r="DJ446" s="6">
        <f t="shared" si="184"/>
        <v>16</v>
      </c>
      <c r="DK446" s="6">
        <f t="shared" si="185"/>
        <v>165</v>
      </c>
      <c r="DL446" s="6">
        <f t="shared" si="186"/>
        <v>1</v>
      </c>
      <c r="DM446" s="6">
        <f t="shared" si="187"/>
        <v>261</v>
      </c>
      <c r="DN446" s="6">
        <f t="shared" si="188"/>
        <v>158</v>
      </c>
      <c r="DO446" s="6">
        <f t="shared" si="189"/>
        <v>270</v>
      </c>
      <c r="DP446" s="6">
        <f t="shared" si="190"/>
        <v>11</v>
      </c>
      <c r="DQ446" s="6">
        <f t="shared" si="191"/>
        <v>253</v>
      </c>
      <c r="DR446" s="4"/>
      <c r="DS446" s="4"/>
      <c r="DT446" s="4"/>
      <c r="DU446" s="4"/>
      <c r="DV446" s="4">
        <v>22.0</v>
      </c>
      <c r="DW446" s="39">
        <v>79.57093426</v>
      </c>
      <c r="DY446" s="4">
        <v>24.0</v>
      </c>
      <c r="DZ446" s="40">
        <v>8.733564014</v>
      </c>
      <c r="EA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</row>
    <row r="447">
      <c r="B447" s="5" t="s">
        <v>4</v>
      </c>
      <c r="C447" s="6">
        <v>55.0</v>
      </c>
      <c r="D447" s="6">
        <v>60.0</v>
      </c>
      <c r="E447" s="6">
        <v>76.0</v>
      </c>
      <c r="F447" s="6">
        <v>9.0</v>
      </c>
      <c r="G447" s="6">
        <v>13.0</v>
      </c>
      <c r="H447" s="6">
        <v>0.0</v>
      </c>
      <c r="I447" s="6">
        <v>56.0</v>
      </c>
      <c r="J447" s="6">
        <v>20.0</v>
      </c>
      <c r="K447" s="6">
        <v>82.0</v>
      </c>
      <c r="L447" s="6">
        <v>70.0</v>
      </c>
      <c r="M447" s="6">
        <v>11.0</v>
      </c>
      <c r="N447" s="6">
        <v>33.0</v>
      </c>
      <c r="O447" s="6">
        <v>2.0</v>
      </c>
      <c r="P447" s="6">
        <v>86.0</v>
      </c>
      <c r="Q447" s="6">
        <v>61.0</v>
      </c>
      <c r="R447" s="6">
        <v>2.0</v>
      </c>
      <c r="S447" s="6">
        <v>55.0</v>
      </c>
      <c r="T447" s="6">
        <v>49.0</v>
      </c>
      <c r="U447" s="6">
        <v>1.0</v>
      </c>
      <c r="V447" s="6">
        <v>75.0</v>
      </c>
      <c r="W447" s="6">
        <v>2.0</v>
      </c>
      <c r="X447" s="6">
        <v>87.0</v>
      </c>
      <c r="Y447" s="6">
        <v>68.0</v>
      </c>
      <c r="Z447" s="6">
        <v>13.0</v>
      </c>
      <c r="AA447" s="6">
        <v>2.0</v>
      </c>
      <c r="AB447" s="6">
        <v>63.0</v>
      </c>
      <c r="AC447" s="6">
        <v>1.0</v>
      </c>
      <c r="AD447" s="6">
        <v>21.0</v>
      </c>
      <c r="AE447" s="6">
        <v>67.0</v>
      </c>
      <c r="AF447" s="6">
        <v>1.0</v>
      </c>
      <c r="AG447" s="6">
        <v>44.0</v>
      </c>
      <c r="AH447" s="6">
        <v>2.0</v>
      </c>
      <c r="AI447" s="6">
        <v>87.0</v>
      </c>
      <c r="AJ447" s="6">
        <v>59.0</v>
      </c>
      <c r="AK447" s="6">
        <v>88.0</v>
      </c>
      <c r="AL447" s="6">
        <v>88.0</v>
      </c>
      <c r="AM447" s="6">
        <v>53.0</v>
      </c>
      <c r="AN447" s="6">
        <v>1.0</v>
      </c>
      <c r="AO447" s="6">
        <v>88.0</v>
      </c>
      <c r="AP447" s="6">
        <v>45.0</v>
      </c>
      <c r="AQ447" s="6">
        <v>19.0</v>
      </c>
      <c r="AR447" s="6">
        <v>28.0</v>
      </c>
      <c r="AS447" s="6">
        <v>0.0</v>
      </c>
      <c r="AT447" s="6">
        <v>0.0</v>
      </c>
      <c r="AU447" s="6">
        <v>45.0</v>
      </c>
      <c r="AV447" s="6">
        <v>0.0</v>
      </c>
      <c r="AW447" s="6">
        <v>0.0</v>
      </c>
      <c r="AX447" s="6">
        <v>0.0</v>
      </c>
      <c r="AY447" s="6">
        <v>0.0</v>
      </c>
      <c r="AZ447" s="6">
        <v>61.0</v>
      </c>
      <c r="BA447" s="6">
        <v>60.0</v>
      </c>
      <c r="BB447" s="6">
        <v>0.0</v>
      </c>
      <c r="BC447" s="6">
        <v>0.0</v>
      </c>
      <c r="BD447" s="6">
        <v>48.0</v>
      </c>
      <c r="BE447" s="6">
        <v>0.0</v>
      </c>
      <c r="BF447" s="6">
        <v>0.0</v>
      </c>
      <c r="BG447" s="6">
        <v>51.0</v>
      </c>
      <c r="BH447" s="6">
        <v>0.0</v>
      </c>
      <c r="BI447" s="6">
        <v>63.0</v>
      </c>
      <c r="BJ447" s="6">
        <v>7.0</v>
      </c>
      <c r="BK447" s="6">
        <v>72.0</v>
      </c>
      <c r="BL447" s="6">
        <v>49.0</v>
      </c>
      <c r="BM447" s="6">
        <v>28.0</v>
      </c>
      <c r="BN447" s="6">
        <v>4.0</v>
      </c>
      <c r="BO447" s="6">
        <v>0.0</v>
      </c>
      <c r="BP447" s="6">
        <v>0.0</v>
      </c>
      <c r="BQ447" s="6">
        <v>36.0</v>
      </c>
      <c r="BR447" s="6">
        <v>57.0</v>
      </c>
      <c r="BS447" s="6">
        <v>0.0</v>
      </c>
      <c r="BT447" s="6">
        <v>7.0</v>
      </c>
      <c r="BU447" s="6">
        <v>34.0</v>
      </c>
      <c r="BV447" s="6">
        <v>0.0</v>
      </c>
      <c r="BW447" s="6">
        <v>4.0</v>
      </c>
      <c r="BX447" s="6">
        <v>0.0</v>
      </c>
      <c r="BY447" s="6">
        <v>17.0</v>
      </c>
      <c r="BZ447" s="6">
        <v>0.0</v>
      </c>
      <c r="CA447" s="6">
        <v>0.0</v>
      </c>
      <c r="CB447" s="6">
        <v>0.0</v>
      </c>
      <c r="CC447" s="6">
        <v>0.0</v>
      </c>
      <c r="CD447" s="6">
        <v>79.0</v>
      </c>
      <c r="CE447" s="6">
        <v>81.0</v>
      </c>
      <c r="CF447" s="6">
        <v>71.0</v>
      </c>
      <c r="CG447" s="6">
        <v>17.0</v>
      </c>
      <c r="CH447" s="6">
        <v>28.0</v>
      </c>
      <c r="CI447" s="6">
        <v>0.0</v>
      </c>
      <c r="CJ447" s="6">
        <v>72.0</v>
      </c>
      <c r="CK447" s="6">
        <v>45.0</v>
      </c>
      <c r="CL447" s="6">
        <v>45.0</v>
      </c>
      <c r="CM447" s="6">
        <v>0.0</v>
      </c>
      <c r="CN447" s="6">
        <v>0.0</v>
      </c>
      <c r="CO447" s="6">
        <v>26.0</v>
      </c>
      <c r="CP447" s="6">
        <v>0.0</v>
      </c>
      <c r="CQ447" s="6">
        <v>0.0</v>
      </c>
      <c r="CR447" s="6">
        <v>21.0</v>
      </c>
      <c r="CV447" s="6">
        <f t="shared" si="170"/>
        <v>155</v>
      </c>
      <c r="CW447" s="6">
        <f t="shared" si="171"/>
        <v>191</v>
      </c>
      <c r="CX447" s="6">
        <f t="shared" si="172"/>
        <v>131</v>
      </c>
      <c r="CY447" s="6">
        <f t="shared" si="173"/>
        <v>61</v>
      </c>
      <c r="CZ447" s="6">
        <f t="shared" si="174"/>
        <v>140</v>
      </c>
      <c r="DA447" s="6">
        <f t="shared" si="175"/>
        <v>62</v>
      </c>
      <c r="DB447" s="6">
        <f t="shared" si="176"/>
        <v>2</v>
      </c>
      <c r="DC447" s="6">
        <f t="shared" si="177"/>
        <v>159</v>
      </c>
      <c r="DD447" s="6">
        <f t="shared" si="178"/>
        <v>260</v>
      </c>
      <c r="DE447" s="6">
        <f t="shared" si="179"/>
        <v>160</v>
      </c>
      <c r="DF447" s="6">
        <f t="shared" si="180"/>
        <v>113</v>
      </c>
      <c r="DG447" s="6">
        <f t="shared" si="181"/>
        <v>375</v>
      </c>
      <c r="DH447" s="6">
        <f t="shared" si="182"/>
        <v>142</v>
      </c>
      <c r="DI447" s="6">
        <f t="shared" si="183"/>
        <v>107</v>
      </c>
      <c r="DJ447" s="6">
        <f t="shared" si="184"/>
        <v>6</v>
      </c>
      <c r="DK447" s="6">
        <f t="shared" si="185"/>
        <v>83</v>
      </c>
      <c r="DL447" s="6">
        <f t="shared" si="186"/>
        <v>0</v>
      </c>
      <c r="DM447" s="6">
        <f t="shared" si="187"/>
        <v>277</v>
      </c>
      <c r="DN447" s="6">
        <f t="shared" si="188"/>
        <v>144</v>
      </c>
      <c r="DO447" s="6">
        <f t="shared" si="189"/>
        <v>160</v>
      </c>
      <c r="DP447" s="6">
        <f t="shared" si="190"/>
        <v>39</v>
      </c>
      <c r="DQ447" s="6">
        <f t="shared" si="191"/>
        <v>659</v>
      </c>
      <c r="DR447" s="4"/>
      <c r="DS447" s="4"/>
      <c r="DT447" s="4"/>
      <c r="DU447" s="4"/>
      <c r="DV447" s="4">
        <v>14.0</v>
      </c>
      <c r="DW447" s="39">
        <v>78.75432526</v>
      </c>
      <c r="DX447" s="4"/>
      <c r="DY447" s="4">
        <v>11.0</v>
      </c>
      <c r="DZ447" s="40">
        <v>10.80622837</v>
      </c>
      <c r="EA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</row>
    <row r="448">
      <c r="B448" s="5" t="s">
        <v>5</v>
      </c>
      <c r="C448" s="6">
        <v>90.0</v>
      </c>
      <c r="D448" s="6">
        <v>3.0</v>
      </c>
      <c r="E448" s="6">
        <v>47.0</v>
      </c>
      <c r="F448" s="6">
        <v>82.0</v>
      </c>
      <c r="G448" s="6">
        <v>66.0</v>
      </c>
      <c r="H448" s="6">
        <v>9.0</v>
      </c>
      <c r="I448" s="6">
        <v>12.0</v>
      </c>
      <c r="J448" s="6">
        <v>22.0</v>
      </c>
      <c r="K448" s="6">
        <v>70.0</v>
      </c>
      <c r="L448" s="6">
        <v>44.0</v>
      </c>
      <c r="M448" s="6">
        <v>7.0</v>
      </c>
      <c r="N448" s="6">
        <v>31.0</v>
      </c>
      <c r="O448" s="6">
        <v>68.0</v>
      </c>
      <c r="P448" s="6">
        <v>84.0</v>
      </c>
      <c r="Q448" s="6">
        <v>8.0</v>
      </c>
      <c r="R448" s="6">
        <v>20.0</v>
      </c>
      <c r="S448" s="6">
        <v>20.0</v>
      </c>
      <c r="T448" s="6">
        <v>33.0</v>
      </c>
      <c r="U448" s="6">
        <v>16.0</v>
      </c>
      <c r="V448" s="6">
        <v>69.0</v>
      </c>
      <c r="W448" s="6">
        <v>1.0</v>
      </c>
      <c r="X448" s="6">
        <v>87.0</v>
      </c>
      <c r="Y448" s="6">
        <v>75.0</v>
      </c>
      <c r="Z448" s="6">
        <v>2.0</v>
      </c>
      <c r="AA448" s="6">
        <v>59.0</v>
      </c>
      <c r="AB448" s="6">
        <v>18.0</v>
      </c>
      <c r="AC448" s="6">
        <v>23.0</v>
      </c>
      <c r="AD448" s="6">
        <v>73.0</v>
      </c>
      <c r="AE448" s="6">
        <v>59.0</v>
      </c>
      <c r="AF448" s="6">
        <v>79.0</v>
      </c>
      <c r="AG448" s="6">
        <v>77.0</v>
      </c>
      <c r="AH448" s="6">
        <v>62.0</v>
      </c>
      <c r="AI448" s="6">
        <v>85.0</v>
      </c>
      <c r="AJ448" s="6">
        <v>32.0</v>
      </c>
      <c r="AK448" s="6">
        <v>2.0</v>
      </c>
      <c r="AL448" s="6">
        <v>90.0</v>
      </c>
      <c r="AM448" s="6">
        <v>0.0</v>
      </c>
      <c r="AN448" s="6">
        <v>11.0</v>
      </c>
      <c r="AO448" s="6">
        <v>83.0</v>
      </c>
      <c r="AP448" s="6">
        <v>26.0</v>
      </c>
      <c r="AQ448" s="6">
        <v>77.0</v>
      </c>
      <c r="AR448" s="6">
        <v>34.0</v>
      </c>
      <c r="AS448" s="6">
        <v>12.0</v>
      </c>
      <c r="AT448" s="6">
        <v>43.0</v>
      </c>
      <c r="AU448" s="6">
        <v>43.0</v>
      </c>
      <c r="AV448" s="6">
        <v>5.0</v>
      </c>
      <c r="AW448" s="6">
        <v>86.0</v>
      </c>
      <c r="AX448" s="6">
        <v>20.0</v>
      </c>
      <c r="AY448" s="6">
        <v>78.0</v>
      </c>
      <c r="AZ448" s="6">
        <v>85.0</v>
      </c>
      <c r="BA448" s="6">
        <v>85.0</v>
      </c>
      <c r="BB448" s="6">
        <v>75.0</v>
      </c>
      <c r="BC448" s="6">
        <v>5.0</v>
      </c>
      <c r="BD448" s="6">
        <v>85.0</v>
      </c>
      <c r="BE448" s="6">
        <v>70.0</v>
      </c>
      <c r="BF448" s="6">
        <v>2.0</v>
      </c>
      <c r="BG448" s="6">
        <v>88.0</v>
      </c>
      <c r="BH448" s="6">
        <v>25.0</v>
      </c>
      <c r="BI448" s="6">
        <v>21.0</v>
      </c>
      <c r="BJ448" s="6">
        <v>67.0</v>
      </c>
      <c r="BK448" s="6">
        <v>58.0</v>
      </c>
      <c r="BL448" s="6">
        <v>85.0</v>
      </c>
      <c r="BM448" s="6">
        <v>67.0</v>
      </c>
      <c r="BN448" s="6">
        <v>24.0</v>
      </c>
      <c r="BO448" s="6">
        <v>66.0</v>
      </c>
      <c r="BP448" s="6">
        <v>80.0</v>
      </c>
      <c r="BQ448" s="6">
        <v>58.0</v>
      </c>
      <c r="BR448" s="6">
        <v>47.0</v>
      </c>
      <c r="BS448" s="6">
        <v>46.0</v>
      </c>
      <c r="BT448" s="6">
        <v>7.0</v>
      </c>
      <c r="BU448" s="6">
        <v>48.0</v>
      </c>
      <c r="BV448" s="6">
        <v>89.0</v>
      </c>
      <c r="BW448" s="6">
        <v>85.0</v>
      </c>
      <c r="BX448" s="6">
        <v>84.0</v>
      </c>
      <c r="BY448" s="6">
        <v>57.0</v>
      </c>
      <c r="BZ448" s="6">
        <v>81.0</v>
      </c>
      <c r="CA448" s="6">
        <v>80.0</v>
      </c>
      <c r="CB448" s="6">
        <v>80.0</v>
      </c>
      <c r="CC448" s="6">
        <v>48.0</v>
      </c>
      <c r="CD448" s="6">
        <v>5.0</v>
      </c>
      <c r="CE448" s="6">
        <v>88.0</v>
      </c>
      <c r="CF448" s="6">
        <v>84.0</v>
      </c>
      <c r="CG448" s="6">
        <v>90.0</v>
      </c>
      <c r="CH448" s="6">
        <v>5.0</v>
      </c>
      <c r="CI448" s="6">
        <v>20.0</v>
      </c>
      <c r="CJ448" s="6">
        <v>90.0</v>
      </c>
      <c r="CK448" s="6">
        <v>90.0</v>
      </c>
      <c r="CL448" s="6">
        <v>73.0</v>
      </c>
      <c r="CM448" s="6">
        <v>14.0</v>
      </c>
      <c r="CN448" s="6">
        <v>13.0</v>
      </c>
      <c r="CO448" s="6">
        <v>60.0</v>
      </c>
      <c r="CP448" s="6">
        <v>87.0</v>
      </c>
      <c r="CQ448" s="6">
        <v>89.0</v>
      </c>
      <c r="CR448" s="6">
        <v>4.0</v>
      </c>
      <c r="CV448" s="6">
        <f t="shared" si="170"/>
        <v>251</v>
      </c>
      <c r="CW448" s="6">
        <f t="shared" si="171"/>
        <v>163</v>
      </c>
      <c r="CX448" s="6">
        <f t="shared" si="172"/>
        <v>181</v>
      </c>
      <c r="CY448" s="6">
        <f t="shared" si="173"/>
        <v>211</v>
      </c>
      <c r="CZ448" s="6">
        <f t="shared" si="174"/>
        <v>170</v>
      </c>
      <c r="DA448" s="6">
        <f t="shared" si="175"/>
        <v>304</v>
      </c>
      <c r="DB448" s="6">
        <f t="shared" si="176"/>
        <v>138</v>
      </c>
      <c r="DC448" s="6">
        <f t="shared" si="177"/>
        <v>215</v>
      </c>
      <c r="DD448" s="6">
        <f t="shared" si="178"/>
        <v>256</v>
      </c>
      <c r="DE448" s="6">
        <f t="shared" si="179"/>
        <v>201</v>
      </c>
      <c r="DF448" s="6">
        <f t="shared" si="180"/>
        <v>235</v>
      </c>
      <c r="DG448" s="6">
        <f t="shared" si="181"/>
        <v>451</v>
      </c>
      <c r="DH448" s="6">
        <f t="shared" si="182"/>
        <v>190</v>
      </c>
      <c r="DI448" s="6">
        <f t="shared" si="183"/>
        <v>242</v>
      </c>
      <c r="DJ448" s="6">
        <f t="shared" si="184"/>
        <v>105</v>
      </c>
      <c r="DK448" s="6">
        <f t="shared" si="185"/>
        <v>165</v>
      </c>
      <c r="DL448" s="6">
        <f t="shared" si="186"/>
        <v>25</v>
      </c>
      <c r="DM448" s="6">
        <f t="shared" si="187"/>
        <v>346</v>
      </c>
      <c r="DN448" s="6">
        <f t="shared" si="188"/>
        <v>95</v>
      </c>
      <c r="DO448" s="6">
        <f t="shared" si="189"/>
        <v>201</v>
      </c>
      <c r="DP448" s="6">
        <f t="shared" si="190"/>
        <v>952</v>
      </c>
      <c r="DQ448" s="6">
        <f t="shared" si="191"/>
        <v>352</v>
      </c>
      <c r="DR448" s="4"/>
      <c r="DS448" s="4"/>
      <c r="DT448" s="4"/>
      <c r="DU448" s="4"/>
      <c r="DV448" s="4">
        <v>36.0</v>
      </c>
      <c r="DW448" s="39">
        <v>78.51211073</v>
      </c>
      <c r="DX448" s="4"/>
      <c r="DY448" s="4">
        <v>13.0</v>
      </c>
      <c r="DZ448" s="40">
        <v>11.65051903</v>
      </c>
      <c r="EA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</row>
    <row r="449">
      <c r="B449" s="5" t="s">
        <v>6</v>
      </c>
      <c r="C449" s="6">
        <v>66.0</v>
      </c>
      <c r="D449" s="6">
        <v>19.0</v>
      </c>
      <c r="E449" s="6">
        <v>42.0</v>
      </c>
      <c r="F449" s="6">
        <v>49.0</v>
      </c>
      <c r="G449" s="6">
        <v>60.0</v>
      </c>
      <c r="H449" s="6">
        <v>12.0</v>
      </c>
      <c r="I449" s="6">
        <v>58.0</v>
      </c>
      <c r="J449" s="6">
        <v>37.0</v>
      </c>
      <c r="K449" s="6">
        <v>41.0</v>
      </c>
      <c r="L449" s="6">
        <v>59.0</v>
      </c>
      <c r="M449" s="6">
        <v>28.0</v>
      </c>
      <c r="N449" s="6">
        <v>48.0</v>
      </c>
      <c r="O449" s="6">
        <v>32.0</v>
      </c>
      <c r="P449" s="6">
        <v>87.0</v>
      </c>
      <c r="Q449" s="6">
        <v>3.0</v>
      </c>
      <c r="R449" s="6">
        <v>60.0</v>
      </c>
      <c r="S449" s="6">
        <v>59.0</v>
      </c>
      <c r="T449" s="6">
        <v>62.0</v>
      </c>
      <c r="U449" s="6">
        <v>76.0</v>
      </c>
      <c r="V449" s="6">
        <v>67.0</v>
      </c>
      <c r="W449" s="6">
        <v>30.0</v>
      </c>
      <c r="X449" s="6">
        <v>85.0</v>
      </c>
      <c r="Y449" s="6">
        <v>78.0</v>
      </c>
      <c r="Z449" s="6">
        <v>27.0</v>
      </c>
      <c r="AA449" s="6">
        <v>52.0</v>
      </c>
      <c r="AB449" s="6">
        <v>74.0</v>
      </c>
      <c r="AC449" s="6">
        <v>34.0</v>
      </c>
      <c r="AD449" s="6">
        <v>32.0</v>
      </c>
      <c r="AE449" s="6">
        <v>27.0</v>
      </c>
      <c r="AF449" s="6">
        <v>59.0</v>
      </c>
      <c r="AG449" s="6">
        <v>75.0</v>
      </c>
      <c r="AH449" s="6">
        <v>24.0</v>
      </c>
      <c r="AI449" s="6">
        <v>84.0</v>
      </c>
      <c r="AJ449" s="6">
        <v>75.0</v>
      </c>
      <c r="AK449" s="6">
        <v>67.0</v>
      </c>
      <c r="AL449" s="6">
        <v>82.0</v>
      </c>
      <c r="AM449" s="6">
        <v>84.0</v>
      </c>
      <c r="AN449" s="6">
        <v>21.0</v>
      </c>
      <c r="AO449" s="6">
        <v>68.0</v>
      </c>
      <c r="AP449" s="6">
        <v>54.0</v>
      </c>
      <c r="AQ449" s="6">
        <v>49.0</v>
      </c>
      <c r="AR449" s="6">
        <v>55.0</v>
      </c>
      <c r="AS449" s="6">
        <v>21.0</v>
      </c>
      <c r="AT449" s="6">
        <v>21.0</v>
      </c>
      <c r="AU449" s="6">
        <v>75.0</v>
      </c>
      <c r="AV449" s="6">
        <v>26.0</v>
      </c>
      <c r="AW449" s="6">
        <v>26.0</v>
      </c>
      <c r="AX449" s="6">
        <v>68.0</v>
      </c>
      <c r="AY449" s="6">
        <v>69.0</v>
      </c>
      <c r="AZ449" s="6">
        <v>74.0</v>
      </c>
      <c r="BA449" s="6">
        <v>29.0</v>
      </c>
      <c r="BB449" s="6">
        <v>79.0</v>
      </c>
      <c r="BC449" s="6">
        <v>24.0</v>
      </c>
      <c r="BD449" s="6">
        <v>34.0</v>
      </c>
      <c r="BE449" s="6">
        <v>26.0</v>
      </c>
      <c r="BF449" s="6">
        <v>23.0</v>
      </c>
      <c r="BG449" s="6">
        <v>82.0</v>
      </c>
      <c r="BH449" s="6">
        <v>11.0</v>
      </c>
      <c r="BI449" s="6">
        <v>33.0</v>
      </c>
      <c r="BJ449" s="6">
        <v>41.0</v>
      </c>
      <c r="BK449" s="6">
        <v>58.0</v>
      </c>
      <c r="BL449" s="6">
        <v>77.0</v>
      </c>
      <c r="BM449" s="6">
        <v>81.0</v>
      </c>
      <c r="BN449" s="6">
        <v>77.0</v>
      </c>
      <c r="BO449" s="6">
        <v>34.0</v>
      </c>
      <c r="BP449" s="6">
        <v>61.0</v>
      </c>
      <c r="BQ449" s="6">
        <v>71.0</v>
      </c>
      <c r="BR449" s="6">
        <v>66.0</v>
      </c>
      <c r="BS449" s="6">
        <v>65.0</v>
      </c>
      <c r="BT449" s="6">
        <v>66.0</v>
      </c>
      <c r="BU449" s="6">
        <v>71.0</v>
      </c>
      <c r="BV449" s="6">
        <v>22.0</v>
      </c>
      <c r="BW449" s="6">
        <v>60.0</v>
      </c>
      <c r="BX449" s="6">
        <v>33.0</v>
      </c>
      <c r="BY449" s="6">
        <v>74.0</v>
      </c>
      <c r="BZ449" s="6">
        <v>77.0</v>
      </c>
      <c r="CA449" s="6">
        <v>60.0</v>
      </c>
      <c r="CB449" s="6">
        <v>35.0</v>
      </c>
      <c r="CC449" s="6">
        <v>44.0</v>
      </c>
      <c r="CD449" s="6">
        <v>55.0</v>
      </c>
      <c r="CE449" s="6">
        <v>78.0</v>
      </c>
      <c r="CF449" s="6">
        <v>66.0</v>
      </c>
      <c r="CG449" s="6">
        <v>58.0</v>
      </c>
      <c r="CH449" s="6">
        <v>30.0</v>
      </c>
      <c r="CI449" s="6">
        <v>28.0</v>
      </c>
      <c r="CJ449" s="6">
        <v>69.0</v>
      </c>
      <c r="CK449" s="6">
        <v>76.0</v>
      </c>
      <c r="CL449" s="6">
        <v>48.0</v>
      </c>
      <c r="CM449" s="6">
        <v>23.0</v>
      </c>
      <c r="CN449" s="6">
        <v>71.0</v>
      </c>
      <c r="CO449" s="6">
        <v>60.0</v>
      </c>
      <c r="CP449" s="6">
        <v>46.0</v>
      </c>
      <c r="CQ449" s="6">
        <v>52.0</v>
      </c>
      <c r="CR449" s="6">
        <v>22.0</v>
      </c>
      <c r="CV449" s="6">
        <f t="shared" si="170"/>
        <v>320</v>
      </c>
      <c r="CW449" s="6">
        <f t="shared" si="171"/>
        <v>149</v>
      </c>
      <c r="CX449" s="6">
        <f t="shared" si="172"/>
        <v>177</v>
      </c>
      <c r="CY449" s="6">
        <f t="shared" si="173"/>
        <v>199</v>
      </c>
      <c r="CZ449" s="6">
        <f t="shared" si="174"/>
        <v>232</v>
      </c>
      <c r="DA449" s="6">
        <f t="shared" si="175"/>
        <v>301</v>
      </c>
      <c r="DB449" s="6">
        <f t="shared" si="176"/>
        <v>138</v>
      </c>
      <c r="DC449" s="6">
        <f t="shared" si="177"/>
        <v>178</v>
      </c>
      <c r="DD449" s="6">
        <f t="shared" si="178"/>
        <v>256</v>
      </c>
      <c r="DE449" s="6">
        <f t="shared" si="179"/>
        <v>219</v>
      </c>
      <c r="DF449" s="6">
        <f t="shared" si="180"/>
        <v>141</v>
      </c>
      <c r="DG449" s="6">
        <f t="shared" si="181"/>
        <v>473</v>
      </c>
      <c r="DH449" s="6">
        <f t="shared" si="182"/>
        <v>292</v>
      </c>
      <c r="DI449" s="6">
        <f t="shared" si="183"/>
        <v>210</v>
      </c>
      <c r="DJ449" s="6">
        <f t="shared" si="184"/>
        <v>203</v>
      </c>
      <c r="DK449" s="6">
        <f t="shared" si="185"/>
        <v>174</v>
      </c>
      <c r="DL449" s="6">
        <f t="shared" si="186"/>
        <v>58</v>
      </c>
      <c r="DM449" s="6">
        <f t="shared" si="187"/>
        <v>314</v>
      </c>
      <c r="DN449" s="6">
        <f t="shared" si="188"/>
        <v>126</v>
      </c>
      <c r="DO449" s="6">
        <f t="shared" si="189"/>
        <v>219</v>
      </c>
      <c r="DP449" s="6">
        <f t="shared" si="190"/>
        <v>761</v>
      </c>
      <c r="DQ449" s="6">
        <f t="shared" si="191"/>
        <v>494</v>
      </c>
      <c r="DR449" s="4"/>
      <c r="DS449" s="4"/>
      <c r="DT449" s="4"/>
      <c r="DU449" s="4"/>
      <c r="DV449" s="4">
        <v>81.0</v>
      </c>
      <c r="DW449" s="39">
        <v>74.24567474</v>
      </c>
      <c r="DX449" s="4"/>
      <c r="DY449" s="4">
        <v>53.0</v>
      </c>
      <c r="DZ449" s="40">
        <v>11.76816609</v>
      </c>
      <c r="EA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</row>
    <row r="450">
      <c r="B450" s="5" t="s">
        <v>7</v>
      </c>
      <c r="C450" s="6">
        <v>77.0</v>
      </c>
      <c r="D450" s="6">
        <v>11.0</v>
      </c>
      <c r="E450" s="6">
        <v>22.0</v>
      </c>
      <c r="F450" s="6">
        <v>16.0</v>
      </c>
      <c r="G450" s="6">
        <v>15.0</v>
      </c>
      <c r="H450" s="6">
        <v>5.0</v>
      </c>
      <c r="I450" s="6">
        <v>42.0</v>
      </c>
      <c r="J450" s="6">
        <v>0.0</v>
      </c>
      <c r="K450" s="6">
        <v>83.0</v>
      </c>
      <c r="L450" s="6">
        <v>0.0</v>
      </c>
      <c r="M450" s="6">
        <v>0.0</v>
      </c>
      <c r="N450" s="6">
        <v>10.0</v>
      </c>
      <c r="O450" s="6">
        <v>22.0</v>
      </c>
      <c r="P450" s="6">
        <v>90.0</v>
      </c>
      <c r="Q450" s="6">
        <v>38.0</v>
      </c>
      <c r="R450" s="6">
        <v>5.0</v>
      </c>
      <c r="S450" s="6">
        <v>5.0</v>
      </c>
      <c r="T450" s="6">
        <v>7.0</v>
      </c>
      <c r="U450" s="6">
        <v>5.0</v>
      </c>
      <c r="V450" s="6">
        <v>29.0</v>
      </c>
      <c r="W450" s="6">
        <v>4.0</v>
      </c>
      <c r="X450" s="6">
        <v>90.0</v>
      </c>
      <c r="Y450" s="6">
        <v>7.0</v>
      </c>
      <c r="Z450" s="6">
        <v>0.0</v>
      </c>
      <c r="AA450" s="6">
        <v>0.0</v>
      </c>
      <c r="AB450" s="6">
        <v>30.0</v>
      </c>
      <c r="AC450" s="6">
        <v>28.0</v>
      </c>
      <c r="AD450" s="6">
        <v>27.0</v>
      </c>
      <c r="AE450" s="6">
        <v>4.0</v>
      </c>
      <c r="AF450" s="6">
        <v>0.0</v>
      </c>
      <c r="AG450" s="6">
        <v>62.0</v>
      </c>
      <c r="AH450" s="6">
        <v>0.0</v>
      </c>
      <c r="AI450" s="6">
        <v>87.0</v>
      </c>
      <c r="AJ450" s="6">
        <v>44.0</v>
      </c>
      <c r="AK450" s="6">
        <v>36.0</v>
      </c>
      <c r="AL450" s="6">
        <v>74.0</v>
      </c>
      <c r="AM450" s="6">
        <v>0.0</v>
      </c>
      <c r="AN450" s="6">
        <v>0.0</v>
      </c>
      <c r="AO450" s="6">
        <v>39.0</v>
      </c>
      <c r="AP450" s="6">
        <v>18.0</v>
      </c>
      <c r="AQ450" s="6">
        <v>80.0</v>
      </c>
      <c r="AR450" s="6">
        <v>62.0</v>
      </c>
      <c r="AS450" s="6">
        <v>0.0</v>
      </c>
      <c r="AT450" s="6">
        <v>4.0</v>
      </c>
      <c r="AU450" s="6">
        <v>31.0</v>
      </c>
      <c r="AV450" s="6">
        <v>5.0</v>
      </c>
      <c r="AW450" s="6">
        <v>11.0</v>
      </c>
      <c r="AX450" s="6">
        <v>7.0</v>
      </c>
      <c r="AY450" s="6">
        <v>9.0</v>
      </c>
      <c r="AZ450" s="6">
        <v>58.0</v>
      </c>
      <c r="BA450" s="6">
        <v>0.0</v>
      </c>
      <c r="BB450" s="6">
        <v>11.0</v>
      </c>
      <c r="BC450" s="6">
        <v>0.0</v>
      </c>
      <c r="BD450" s="6">
        <v>0.0</v>
      </c>
      <c r="BE450" s="6">
        <v>21.0</v>
      </c>
      <c r="BF450" s="6">
        <v>0.0</v>
      </c>
      <c r="BG450" s="6">
        <v>70.0</v>
      </c>
      <c r="BH450" s="6">
        <v>23.0</v>
      </c>
      <c r="BI450" s="6">
        <v>62.0</v>
      </c>
      <c r="BJ450" s="6">
        <v>14.0</v>
      </c>
      <c r="BK450" s="6">
        <v>4.0</v>
      </c>
      <c r="BL450" s="6">
        <v>72.0</v>
      </c>
      <c r="BM450" s="6">
        <v>30.0</v>
      </c>
      <c r="BN450" s="6">
        <v>4.0</v>
      </c>
      <c r="BO450" s="6">
        <v>5.0</v>
      </c>
      <c r="BP450" s="6">
        <v>55.0</v>
      </c>
      <c r="BQ450" s="6">
        <v>4.0</v>
      </c>
      <c r="BR450" s="6">
        <v>0.0</v>
      </c>
      <c r="BS450" s="6">
        <v>0.0</v>
      </c>
      <c r="BT450" s="6">
        <v>0.0</v>
      </c>
      <c r="BU450" s="6">
        <v>3.0</v>
      </c>
      <c r="BV450" s="6">
        <v>0.0</v>
      </c>
      <c r="BW450" s="6">
        <v>24.0</v>
      </c>
      <c r="BX450" s="6">
        <v>23.0</v>
      </c>
      <c r="BY450" s="6">
        <v>6.0</v>
      </c>
      <c r="BZ450" s="6">
        <v>0.0</v>
      </c>
      <c r="CA450" s="6">
        <v>0.0</v>
      </c>
      <c r="CB450" s="6">
        <v>2.0</v>
      </c>
      <c r="CC450" s="6">
        <v>0.0</v>
      </c>
      <c r="CD450" s="6">
        <v>0.0</v>
      </c>
      <c r="CE450" s="6">
        <v>70.0</v>
      </c>
      <c r="CF450" s="6">
        <v>9.0</v>
      </c>
      <c r="CG450" s="6">
        <v>0.0</v>
      </c>
      <c r="CH450" s="6">
        <v>6.0</v>
      </c>
      <c r="CI450" s="6">
        <v>0.0</v>
      </c>
      <c r="CJ450" s="6">
        <v>42.0</v>
      </c>
      <c r="CK450" s="6">
        <v>15.0</v>
      </c>
      <c r="CL450" s="6">
        <v>0.0</v>
      </c>
      <c r="CM450" s="6">
        <v>11.0</v>
      </c>
      <c r="CN450" s="6">
        <v>0.0</v>
      </c>
      <c r="CO450" s="6">
        <v>30.0</v>
      </c>
      <c r="CP450" s="6">
        <v>2.0</v>
      </c>
      <c r="CQ450" s="6">
        <v>15.0</v>
      </c>
      <c r="CR450" s="6">
        <v>58.0</v>
      </c>
      <c r="CV450" s="6">
        <f t="shared" si="170"/>
        <v>204</v>
      </c>
      <c r="CW450" s="6">
        <f t="shared" si="171"/>
        <v>159</v>
      </c>
      <c r="CX450" s="6">
        <f t="shared" si="172"/>
        <v>82</v>
      </c>
      <c r="CY450" s="6">
        <f t="shared" si="173"/>
        <v>58</v>
      </c>
      <c r="CZ450" s="6">
        <f t="shared" si="174"/>
        <v>132</v>
      </c>
      <c r="DA450" s="6">
        <f t="shared" si="175"/>
        <v>49</v>
      </c>
      <c r="DB450" s="6">
        <f t="shared" si="176"/>
        <v>20</v>
      </c>
      <c r="DC450" s="6">
        <f t="shared" si="177"/>
        <v>48</v>
      </c>
      <c r="DD450" s="6">
        <f t="shared" si="178"/>
        <v>267</v>
      </c>
      <c r="DE450" s="6">
        <f t="shared" si="179"/>
        <v>42</v>
      </c>
      <c r="DF450" s="6">
        <f t="shared" si="180"/>
        <v>89</v>
      </c>
      <c r="DG450" s="6">
        <f t="shared" si="181"/>
        <v>299</v>
      </c>
      <c r="DH450" s="6">
        <f t="shared" si="182"/>
        <v>137</v>
      </c>
      <c r="DI450" s="6">
        <f t="shared" si="183"/>
        <v>165</v>
      </c>
      <c r="DJ450" s="6">
        <f t="shared" si="184"/>
        <v>17</v>
      </c>
      <c r="DK450" s="6">
        <f t="shared" si="185"/>
        <v>32</v>
      </c>
      <c r="DL450" s="6">
        <f t="shared" si="186"/>
        <v>16</v>
      </c>
      <c r="DM450" s="6">
        <f t="shared" si="187"/>
        <v>267</v>
      </c>
      <c r="DN450" s="6">
        <f t="shared" si="188"/>
        <v>81</v>
      </c>
      <c r="DO450" s="6">
        <f t="shared" si="189"/>
        <v>42</v>
      </c>
      <c r="DP450" s="6">
        <f t="shared" si="190"/>
        <v>140</v>
      </c>
      <c r="DQ450" s="6">
        <f t="shared" si="191"/>
        <v>130</v>
      </c>
      <c r="DR450" s="4"/>
      <c r="DS450" s="4"/>
      <c r="DT450" s="4"/>
      <c r="DU450" s="4"/>
      <c r="DV450" s="4">
        <v>33.0</v>
      </c>
      <c r="DW450" s="39">
        <v>73.19723183</v>
      </c>
      <c r="DX450" s="4"/>
      <c r="DY450" s="4">
        <v>30.0</v>
      </c>
      <c r="DZ450" s="40">
        <v>13.70242215</v>
      </c>
      <c r="EA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</row>
    <row r="451">
      <c r="B451" s="5" t="s">
        <v>8</v>
      </c>
      <c r="C451" s="6">
        <v>68.0</v>
      </c>
      <c r="D451" s="6">
        <v>77.0</v>
      </c>
      <c r="E451" s="6">
        <v>77.0</v>
      </c>
      <c r="F451" s="6">
        <v>22.0</v>
      </c>
      <c r="G451" s="6">
        <v>21.0</v>
      </c>
      <c r="H451" s="6">
        <v>6.0</v>
      </c>
      <c r="I451" s="6">
        <v>79.0</v>
      </c>
      <c r="J451" s="6">
        <v>10.0</v>
      </c>
      <c r="K451" s="6">
        <v>88.0</v>
      </c>
      <c r="L451" s="6">
        <v>42.0</v>
      </c>
      <c r="M451" s="6">
        <v>23.0</v>
      </c>
      <c r="N451" s="6">
        <v>74.0</v>
      </c>
      <c r="O451" s="6">
        <v>18.0</v>
      </c>
      <c r="P451" s="6">
        <v>87.0</v>
      </c>
      <c r="Q451" s="6">
        <v>71.0</v>
      </c>
      <c r="R451" s="6">
        <v>57.0</v>
      </c>
      <c r="S451" s="6">
        <v>88.0</v>
      </c>
      <c r="T451" s="6">
        <v>74.0</v>
      </c>
      <c r="U451" s="6">
        <v>12.0</v>
      </c>
      <c r="V451" s="6">
        <v>76.0</v>
      </c>
      <c r="W451" s="6">
        <v>1.0</v>
      </c>
      <c r="X451" s="6">
        <v>88.0</v>
      </c>
      <c r="Y451" s="6">
        <v>57.0</v>
      </c>
      <c r="Z451" s="6">
        <v>1.0</v>
      </c>
      <c r="AA451" s="6">
        <v>4.0</v>
      </c>
      <c r="AB451" s="6">
        <v>71.0</v>
      </c>
      <c r="AC451" s="6">
        <v>23.0</v>
      </c>
      <c r="AD451" s="6">
        <v>57.0</v>
      </c>
      <c r="AE451" s="6">
        <v>86.0</v>
      </c>
      <c r="AF451" s="6">
        <v>7.0</v>
      </c>
      <c r="AG451" s="6">
        <v>60.0</v>
      </c>
      <c r="AH451" s="6">
        <v>2.0</v>
      </c>
      <c r="AI451" s="6">
        <v>74.0</v>
      </c>
      <c r="AJ451" s="6">
        <v>89.0</v>
      </c>
      <c r="AK451" s="6">
        <v>86.0</v>
      </c>
      <c r="AL451" s="6">
        <v>86.0</v>
      </c>
      <c r="AM451" s="6">
        <v>75.0</v>
      </c>
      <c r="AN451" s="6">
        <v>11.0</v>
      </c>
      <c r="AO451" s="6">
        <v>46.0</v>
      </c>
      <c r="AP451" s="6">
        <v>5.0</v>
      </c>
      <c r="AQ451" s="6">
        <v>74.0</v>
      </c>
      <c r="AR451" s="6">
        <v>87.0</v>
      </c>
      <c r="AS451" s="6">
        <v>1.0</v>
      </c>
      <c r="AT451" s="6">
        <v>1.0</v>
      </c>
      <c r="AU451" s="6">
        <v>60.0</v>
      </c>
      <c r="AV451" s="6">
        <v>1.0</v>
      </c>
      <c r="AW451" s="6">
        <v>78.0</v>
      </c>
      <c r="AX451" s="6">
        <v>11.0</v>
      </c>
      <c r="AY451" s="6">
        <v>22.0</v>
      </c>
      <c r="AZ451" s="6">
        <v>86.0</v>
      </c>
      <c r="BA451" s="6">
        <v>61.0</v>
      </c>
      <c r="BB451" s="6">
        <v>46.0</v>
      </c>
      <c r="BC451" s="6">
        <v>1.0</v>
      </c>
      <c r="BD451" s="6">
        <v>14.0</v>
      </c>
      <c r="BE451" s="6">
        <v>16.0</v>
      </c>
      <c r="BF451" s="6">
        <v>1.0</v>
      </c>
      <c r="BG451" s="6">
        <v>86.0</v>
      </c>
      <c r="BH451" s="6">
        <v>22.0</v>
      </c>
      <c r="BI451" s="6">
        <v>74.0</v>
      </c>
      <c r="BJ451" s="6">
        <v>13.0</v>
      </c>
      <c r="BK451" s="6">
        <v>86.0</v>
      </c>
      <c r="BL451" s="6">
        <v>89.0</v>
      </c>
      <c r="BM451" s="6">
        <v>86.0</v>
      </c>
      <c r="BN451" s="6">
        <v>88.0</v>
      </c>
      <c r="BO451" s="6">
        <v>7.0</v>
      </c>
      <c r="BP451" s="6">
        <v>5.0</v>
      </c>
      <c r="BQ451" s="6">
        <v>80.0</v>
      </c>
      <c r="BR451" s="6">
        <v>84.0</v>
      </c>
      <c r="BS451" s="6">
        <v>44.0</v>
      </c>
      <c r="BT451" s="6">
        <v>23.0</v>
      </c>
      <c r="BU451" s="6">
        <v>89.0</v>
      </c>
      <c r="BV451" s="6">
        <v>13.0</v>
      </c>
      <c r="BW451" s="6">
        <v>81.0</v>
      </c>
      <c r="BX451" s="6">
        <v>6.0</v>
      </c>
      <c r="BY451" s="6">
        <v>68.0</v>
      </c>
      <c r="BZ451" s="6">
        <v>8.0</v>
      </c>
      <c r="CA451" s="6">
        <v>45.0</v>
      </c>
      <c r="CB451" s="6">
        <v>5.0</v>
      </c>
      <c r="CC451" s="6">
        <v>1.0</v>
      </c>
      <c r="CD451" s="6">
        <v>14.0</v>
      </c>
      <c r="CE451" s="6">
        <v>72.0</v>
      </c>
      <c r="CF451" s="6">
        <v>53.0</v>
      </c>
      <c r="CG451" s="6">
        <v>8.0</v>
      </c>
      <c r="CH451" s="6">
        <v>1.0</v>
      </c>
      <c r="CI451" s="6">
        <v>1.0</v>
      </c>
      <c r="CJ451" s="6">
        <v>87.0</v>
      </c>
      <c r="CK451" s="6">
        <v>12.0</v>
      </c>
      <c r="CL451" s="6">
        <v>67.0</v>
      </c>
      <c r="CM451" s="6">
        <v>1.0</v>
      </c>
      <c r="CN451" s="6">
        <v>27.0</v>
      </c>
      <c r="CO451" s="6">
        <v>83.0</v>
      </c>
      <c r="CP451" s="6">
        <v>3.0</v>
      </c>
      <c r="CQ451" s="6">
        <v>3.0</v>
      </c>
      <c r="CR451" s="6">
        <v>2.0</v>
      </c>
      <c r="CV451" s="6">
        <f t="shared" si="170"/>
        <v>370</v>
      </c>
      <c r="CW451" s="6">
        <f t="shared" si="171"/>
        <v>161</v>
      </c>
      <c r="CX451" s="6">
        <f t="shared" si="172"/>
        <v>244</v>
      </c>
      <c r="CY451" s="6">
        <f t="shared" si="173"/>
        <v>175</v>
      </c>
      <c r="CZ451" s="6">
        <f t="shared" si="174"/>
        <v>246</v>
      </c>
      <c r="DA451" s="6">
        <f t="shared" si="175"/>
        <v>295</v>
      </c>
      <c r="DB451" s="6">
        <f t="shared" si="176"/>
        <v>7</v>
      </c>
      <c r="DC451" s="6">
        <f t="shared" si="177"/>
        <v>100</v>
      </c>
      <c r="DD451" s="6">
        <f t="shared" si="178"/>
        <v>249</v>
      </c>
      <c r="DE451" s="6">
        <f t="shared" si="179"/>
        <v>201</v>
      </c>
      <c r="DF451" s="6">
        <f t="shared" si="180"/>
        <v>131</v>
      </c>
      <c r="DG451" s="6">
        <f t="shared" si="181"/>
        <v>506</v>
      </c>
      <c r="DH451" s="6">
        <f t="shared" si="182"/>
        <v>303</v>
      </c>
      <c r="DI451" s="6">
        <f t="shared" si="183"/>
        <v>206</v>
      </c>
      <c r="DJ451" s="6">
        <f t="shared" si="184"/>
        <v>93</v>
      </c>
      <c r="DK451" s="6">
        <f t="shared" si="185"/>
        <v>181</v>
      </c>
      <c r="DL451" s="6">
        <f t="shared" si="186"/>
        <v>8</v>
      </c>
      <c r="DM451" s="6">
        <f t="shared" si="187"/>
        <v>257</v>
      </c>
      <c r="DN451" s="6">
        <f t="shared" si="188"/>
        <v>125</v>
      </c>
      <c r="DO451" s="6">
        <f t="shared" si="189"/>
        <v>201</v>
      </c>
      <c r="DP451" s="6">
        <f t="shared" si="190"/>
        <v>183</v>
      </c>
      <c r="DQ451" s="6">
        <f t="shared" si="191"/>
        <v>746</v>
      </c>
      <c r="DR451" s="4"/>
      <c r="DS451" s="4"/>
      <c r="DT451" s="4"/>
      <c r="DU451" s="4"/>
      <c r="DV451" s="4">
        <v>57.0</v>
      </c>
      <c r="DW451" s="39">
        <v>70.02422145</v>
      </c>
      <c r="DX451" s="4"/>
      <c r="DY451" s="4">
        <v>38.0</v>
      </c>
      <c r="DZ451" s="40">
        <v>13.70588235</v>
      </c>
      <c r="EA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</row>
    <row r="452">
      <c r="B452" s="5" t="s">
        <v>9</v>
      </c>
      <c r="C452" s="6">
        <v>74.0</v>
      </c>
      <c r="D452" s="6">
        <v>7.0</v>
      </c>
      <c r="E452" s="6">
        <v>69.0</v>
      </c>
      <c r="F452" s="6">
        <v>4.0</v>
      </c>
      <c r="G452" s="6">
        <v>3.0</v>
      </c>
      <c r="H452" s="6">
        <v>3.0</v>
      </c>
      <c r="I452" s="6">
        <v>24.0</v>
      </c>
      <c r="J452" s="6">
        <v>3.0</v>
      </c>
      <c r="K452" s="6">
        <v>20.0</v>
      </c>
      <c r="L452" s="6">
        <v>2.0</v>
      </c>
      <c r="M452" s="6">
        <v>1.0</v>
      </c>
      <c r="N452" s="6">
        <v>59.0</v>
      </c>
      <c r="O452" s="6">
        <v>3.0</v>
      </c>
      <c r="P452" s="6">
        <v>78.0</v>
      </c>
      <c r="Q452" s="6">
        <v>60.0</v>
      </c>
      <c r="R452" s="6">
        <v>38.0</v>
      </c>
      <c r="S452" s="6">
        <v>6.0</v>
      </c>
      <c r="T452" s="6">
        <v>88.0</v>
      </c>
      <c r="U452" s="6">
        <v>72.0</v>
      </c>
      <c r="V452" s="6">
        <v>69.0</v>
      </c>
      <c r="W452" s="6">
        <v>4.0</v>
      </c>
      <c r="X452" s="6">
        <v>84.0</v>
      </c>
      <c r="Y452" s="6">
        <v>79.0</v>
      </c>
      <c r="Z452" s="6">
        <v>7.0</v>
      </c>
      <c r="AA452" s="6">
        <v>2.0</v>
      </c>
      <c r="AB452" s="6">
        <v>82.0</v>
      </c>
      <c r="AC452" s="6">
        <v>3.0</v>
      </c>
      <c r="AD452" s="6">
        <v>46.0</v>
      </c>
      <c r="AE452" s="6">
        <v>4.0</v>
      </c>
      <c r="AF452" s="6">
        <v>2.0</v>
      </c>
      <c r="AG452" s="6">
        <v>3.0</v>
      </c>
      <c r="AH452" s="6">
        <v>3.0</v>
      </c>
      <c r="AI452" s="6">
        <v>80.0</v>
      </c>
      <c r="AJ452" s="6">
        <v>78.0</v>
      </c>
      <c r="AK452" s="6">
        <v>74.0</v>
      </c>
      <c r="AL452" s="6">
        <v>86.0</v>
      </c>
      <c r="AM452" s="6">
        <v>4.0</v>
      </c>
      <c r="AN452" s="6">
        <v>4.0</v>
      </c>
      <c r="AO452" s="6">
        <v>85.0</v>
      </c>
      <c r="AP452" s="6">
        <v>52.0</v>
      </c>
      <c r="AQ452" s="6">
        <v>61.0</v>
      </c>
      <c r="AR452" s="6">
        <v>59.0</v>
      </c>
      <c r="AS452" s="6">
        <v>5.0</v>
      </c>
      <c r="AT452" s="6">
        <v>5.0</v>
      </c>
      <c r="AU452" s="6">
        <v>6.0</v>
      </c>
      <c r="AV452" s="6">
        <v>7.0</v>
      </c>
      <c r="AW452" s="6">
        <v>6.0</v>
      </c>
      <c r="AX452" s="6">
        <v>8.0</v>
      </c>
      <c r="AY452" s="6">
        <v>3.0</v>
      </c>
      <c r="AZ452" s="6">
        <v>80.0</v>
      </c>
      <c r="BA452" s="6">
        <v>2.0</v>
      </c>
      <c r="BB452" s="6">
        <v>7.0</v>
      </c>
      <c r="BC452" s="6">
        <v>4.0</v>
      </c>
      <c r="BD452" s="6">
        <v>2.0</v>
      </c>
      <c r="BE452" s="6">
        <v>2.0</v>
      </c>
      <c r="BF452" s="6">
        <v>2.0</v>
      </c>
      <c r="BG452" s="6">
        <v>82.0</v>
      </c>
      <c r="BH452" s="6">
        <v>3.0</v>
      </c>
      <c r="BI452" s="6">
        <v>61.0</v>
      </c>
      <c r="BJ452" s="6">
        <v>58.0</v>
      </c>
      <c r="BK452" s="6">
        <v>11.0</v>
      </c>
      <c r="BL452" s="6">
        <v>8.0</v>
      </c>
      <c r="BM452" s="6">
        <v>24.0</v>
      </c>
      <c r="BN452" s="6">
        <v>9.0</v>
      </c>
      <c r="BO452" s="6">
        <v>4.0</v>
      </c>
      <c r="BP452" s="6">
        <v>5.0</v>
      </c>
      <c r="BQ452" s="6">
        <v>12.0</v>
      </c>
      <c r="BR452" s="6">
        <v>2.0</v>
      </c>
      <c r="BS452" s="6">
        <v>2.0</v>
      </c>
      <c r="BT452" s="6">
        <v>15.0</v>
      </c>
      <c r="BU452" s="6">
        <v>86.0</v>
      </c>
      <c r="BV452" s="6">
        <v>86.0</v>
      </c>
      <c r="BW452" s="6">
        <v>49.0</v>
      </c>
      <c r="BX452" s="6">
        <v>2.0</v>
      </c>
      <c r="BY452" s="6">
        <v>88.0</v>
      </c>
      <c r="BZ452" s="6">
        <v>55.0</v>
      </c>
      <c r="CA452" s="6">
        <v>85.0</v>
      </c>
      <c r="CB452" s="6">
        <v>21.0</v>
      </c>
      <c r="CC452" s="6">
        <v>15.0</v>
      </c>
      <c r="CD452" s="6">
        <v>55.0</v>
      </c>
      <c r="CE452" s="6">
        <v>88.0</v>
      </c>
      <c r="CF452" s="6">
        <v>88.0</v>
      </c>
      <c r="CG452" s="6">
        <v>2.0</v>
      </c>
      <c r="CH452" s="6">
        <v>3.0</v>
      </c>
      <c r="CI452" s="6">
        <v>1.0</v>
      </c>
      <c r="CJ452" s="6">
        <v>81.0</v>
      </c>
      <c r="CK452" s="6">
        <v>2.0</v>
      </c>
      <c r="CL452" s="6">
        <v>45.0</v>
      </c>
      <c r="CM452" s="6">
        <v>1.0</v>
      </c>
      <c r="CN452" s="6">
        <v>56.0</v>
      </c>
      <c r="CO452" s="6">
        <v>69.0</v>
      </c>
      <c r="CP452" s="6">
        <v>1.0</v>
      </c>
      <c r="CQ452" s="6">
        <v>3.0</v>
      </c>
      <c r="CR452" s="6">
        <v>18.0</v>
      </c>
      <c r="CV452" s="6">
        <f t="shared" si="170"/>
        <v>293</v>
      </c>
      <c r="CW452" s="6">
        <f t="shared" si="171"/>
        <v>111</v>
      </c>
      <c r="CX452" s="6">
        <f t="shared" si="172"/>
        <v>209</v>
      </c>
      <c r="CY452" s="6">
        <f t="shared" si="173"/>
        <v>167</v>
      </c>
      <c r="CZ452" s="6">
        <f t="shared" si="174"/>
        <v>114</v>
      </c>
      <c r="DA452" s="6">
        <f t="shared" si="175"/>
        <v>58</v>
      </c>
      <c r="DB452" s="6">
        <f t="shared" si="176"/>
        <v>23</v>
      </c>
      <c r="DC452" s="6">
        <f t="shared" si="177"/>
        <v>188</v>
      </c>
      <c r="DD452" s="6">
        <f t="shared" si="178"/>
        <v>242</v>
      </c>
      <c r="DE452" s="6">
        <f t="shared" si="179"/>
        <v>236</v>
      </c>
      <c r="DF452" s="6">
        <f t="shared" si="180"/>
        <v>51</v>
      </c>
      <c r="DG452" s="6">
        <f t="shared" si="181"/>
        <v>430</v>
      </c>
      <c r="DH452" s="6">
        <f t="shared" si="182"/>
        <v>152</v>
      </c>
      <c r="DI452" s="6">
        <f t="shared" si="183"/>
        <v>154</v>
      </c>
      <c r="DJ452" s="6">
        <f t="shared" si="184"/>
        <v>31</v>
      </c>
      <c r="DK452" s="6">
        <f t="shared" si="185"/>
        <v>64</v>
      </c>
      <c r="DL452" s="6">
        <f t="shared" si="186"/>
        <v>6</v>
      </c>
      <c r="DM452" s="6">
        <f t="shared" si="187"/>
        <v>244</v>
      </c>
      <c r="DN452" s="6">
        <f t="shared" si="188"/>
        <v>109</v>
      </c>
      <c r="DO452" s="6">
        <f t="shared" si="189"/>
        <v>236</v>
      </c>
      <c r="DP452" s="6">
        <f t="shared" si="190"/>
        <v>165</v>
      </c>
      <c r="DQ452" s="6">
        <f t="shared" si="191"/>
        <v>169</v>
      </c>
      <c r="DR452" s="4"/>
      <c r="DS452" s="4"/>
      <c r="DT452" s="4"/>
      <c r="DU452" s="4"/>
      <c r="DV452" s="4">
        <v>86.0</v>
      </c>
      <c r="DW452" s="39">
        <v>65.73010381</v>
      </c>
      <c r="DX452" s="4"/>
      <c r="DY452" s="4">
        <v>21.0</v>
      </c>
      <c r="DZ452" s="40">
        <v>14.08304498</v>
      </c>
      <c r="EA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</row>
    <row r="453">
      <c r="B453" s="5" t="s">
        <v>10</v>
      </c>
      <c r="C453" s="31">
        <v>7.411764705882353</v>
      </c>
      <c r="D453" s="31">
        <v>0.0</v>
      </c>
      <c r="E453" s="31">
        <v>6.352941176470588</v>
      </c>
      <c r="F453" s="31">
        <v>0.0</v>
      </c>
      <c r="G453" s="31">
        <v>52.94117647058823</v>
      </c>
      <c r="H453" s="31">
        <v>0.0</v>
      </c>
      <c r="I453" s="31">
        <v>90.0</v>
      </c>
      <c r="J453" s="31">
        <v>64.58823529411765</v>
      </c>
      <c r="K453" s="31">
        <v>0.0</v>
      </c>
      <c r="L453" s="31">
        <v>0.0</v>
      </c>
      <c r="M453" s="31">
        <v>0.0</v>
      </c>
      <c r="N453" s="31">
        <v>0.0</v>
      </c>
      <c r="O453" s="31">
        <v>7.411764705882353</v>
      </c>
      <c r="P453" s="31">
        <v>90.0</v>
      </c>
      <c r="Q453" s="31">
        <v>0.0</v>
      </c>
      <c r="R453" s="31">
        <v>0.0</v>
      </c>
      <c r="S453" s="31">
        <v>10.588235294117647</v>
      </c>
      <c r="T453" s="31">
        <v>0.0</v>
      </c>
      <c r="U453" s="31">
        <v>0.0</v>
      </c>
      <c r="V453" s="31">
        <v>0.0</v>
      </c>
      <c r="W453" s="31">
        <v>67.76470588235294</v>
      </c>
      <c r="X453" s="31">
        <v>90.0</v>
      </c>
      <c r="Y453" s="31">
        <v>0.0</v>
      </c>
      <c r="Z453" s="31">
        <v>0.0</v>
      </c>
      <c r="AA453" s="31">
        <v>0.0</v>
      </c>
      <c r="AB453" s="31">
        <v>0.0</v>
      </c>
      <c r="AC453" s="31">
        <v>44.470588235294116</v>
      </c>
      <c r="AD453" s="31">
        <v>4.235294117647059</v>
      </c>
      <c r="AE453" s="31">
        <v>0.0</v>
      </c>
      <c r="AF453" s="31">
        <v>0.0</v>
      </c>
      <c r="AG453" s="31">
        <v>0.0</v>
      </c>
      <c r="AH453" s="31">
        <v>47.64705882352941</v>
      </c>
      <c r="AI453" s="31">
        <v>75.17647058823529</v>
      </c>
      <c r="AJ453" s="31">
        <v>0.0</v>
      </c>
      <c r="AK453" s="31">
        <v>90.0</v>
      </c>
      <c r="AL453" s="31">
        <v>90.0</v>
      </c>
      <c r="AM453" s="31">
        <v>0.0</v>
      </c>
      <c r="AN453" s="31">
        <v>0.0</v>
      </c>
      <c r="AO453" s="31">
        <v>0.0</v>
      </c>
      <c r="AP453" s="31">
        <v>0.0</v>
      </c>
      <c r="AQ453" s="31">
        <v>0.0</v>
      </c>
      <c r="AR453" s="31">
        <v>0.0</v>
      </c>
      <c r="AS453" s="31">
        <v>90.0</v>
      </c>
      <c r="AT453" s="31">
        <v>90.0</v>
      </c>
      <c r="AU453" s="31">
        <v>0.0</v>
      </c>
      <c r="AV453" s="31">
        <v>90.0</v>
      </c>
      <c r="AW453" s="31">
        <v>0.0</v>
      </c>
      <c r="AX453" s="31">
        <v>0.0</v>
      </c>
      <c r="AY453" s="31">
        <v>0.0</v>
      </c>
      <c r="AZ453" s="31">
        <v>0.0</v>
      </c>
      <c r="BA453" s="31">
        <v>0.0</v>
      </c>
      <c r="BB453" s="31">
        <v>0.0</v>
      </c>
      <c r="BC453" s="31">
        <v>0.0</v>
      </c>
      <c r="BD453" s="31">
        <v>0.0</v>
      </c>
      <c r="BE453" s="31">
        <v>90.0</v>
      </c>
      <c r="BF453" s="31">
        <v>90.0</v>
      </c>
      <c r="BG453" s="31">
        <v>0.0</v>
      </c>
      <c r="BH453" s="31">
        <v>0.0</v>
      </c>
      <c r="BI453" s="31">
        <v>0.0</v>
      </c>
      <c r="BJ453" s="31">
        <v>45.529411764705884</v>
      </c>
      <c r="BK453" s="31">
        <v>0.0</v>
      </c>
      <c r="BL453" s="31">
        <v>0.0</v>
      </c>
      <c r="BM453" s="31">
        <v>0.0</v>
      </c>
      <c r="BN453" s="31">
        <v>0.0</v>
      </c>
      <c r="BO453" s="31">
        <v>0.0</v>
      </c>
      <c r="BP453" s="31">
        <v>90.0</v>
      </c>
      <c r="BQ453" s="31">
        <v>0.0</v>
      </c>
      <c r="BR453" s="31">
        <v>0.0</v>
      </c>
      <c r="BS453" s="31">
        <v>0.0</v>
      </c>
      <c r="BT453" s="31">
        <v>0.0</v>
      </c>
      <c r="BU453" s="31">
        <v>0.0</v>
      </c>
      <c r="BV453" s="31">
        <v>0.0</v>
      </c>
      <c r="BW453" s="31">
        <v>0.0</v>
      </c>
      <c r="BX453" s="31">
        <v>90.0</v>
      </c>
      <c r="BY453" s="31">
        <v>0.0</v>
      </c>
      <c r="BZ453" s="31">
        <v>0.0</v>
      </c>
      <c r="CA453" s="31">
        <v>0.0</v>
      </c>
      <c r="CB453" s="31">
        <v>0.0</v>
      </c>
      <c r="CC453" s="31">
        <v>90.0</v>
      </c>
      <c r="CD453" s="31">
        <v>0.0</v>
      </c>
      <c r="CE453" s="31">
        <v>0.0</v>
      </c>
      <c r="CF453" s="31">
        <v>0.0</v>
      </c>
      <c r="CG453" s="31">
        <v>90.0</v>
      </c>
      <c r="CH453" s="31">
        <v>90.0</v>
      </c>
      <c r="CI453" s="31">
        <v>45.529411764705884</v>
      </c>
      <c r="CJ453" s="31">
        <v>0.0</v>
      </c>
      <c r="CK453" s="31">
        <v>90.0</v>
      </c>
      <c r="CL453" s="31">
        <v>55.05882352941177</v>
      </c>
      <c r="CM453" s="31">
        <v>63.529411764705884</v>
      </c>
      <c r="CN453" s="31">
        <v>0.0</v>
      </c>
      <c r="CO453" s="31">
        <v>0.0</v>
      </c>
      <c r="CP453" s="31">
        <v>90.0</v>
      </c>
      <c r="CQ453" s="31">
        <v>0.0</v>
      </c>
      <c r="CR453" s="31">
        <v>0.0</v>
      </c>
      <c r="CV453" s="30">
        <f t="shared" si="170"/>
        <v>0</v>
      </c>
      <c r="CW453" s="30">
        <f t="shared" si="171"/>
        <v>90</v>
      </c>
      <c r="CX453" s="30">
        <f t="shared" si="172"/>
        <v>0</v>
      </c>
      <c r="CY453" s="30">
        <f t="shared" si="173"/>
        <v>0</v>
      </c>
      <c r="CZ453" s="30">
        <f t="shared" si="174"/>
        <v>0</v>
      </c>
      <c r="DA453" s="30">
        <f t="shared" si="175"/>
        <v>109.0588235</v>
      </c>
      <c r="DB453" s="30">
        <f t="shared" si="176"/>
        <v>471.1764706</v>
      </c>
      <c r="DC453" s="30">
        <f t="shared" si="177"/>
        <v>90</v>
      </c>
      <c r="DD453" s="30">
        <f t="shared" si="178"/>
        <v>255.1764706</v>
      </c>
      <c r="DE453" s="30">
        <f t="shared" si="179"/>
        <v>0</v>
      </c>
      <c r="DF453" s="30">
        <f t="shared" si="180"/>
        <v>4.235294118</v>
      </c>
      <c r="DG453" s="30">
        <f t="shared" si="181"/>
        <v>97.41176471</v>
      </c>
      <c r="DH453" s="30">
        <f t="shared" si="182"/>
        <v>0</v>
      </c>
      <c r="DI453" s="30">
        <f t="shared" si="183"/>
        <v>90</v>
      </c>
      <c r="DJ453" s="30">
        <f t="shared" si="184"/>
        <v>383.2941176</v>
      </c>
      <c r="DK453" s="30">
        <f t="shared" si="185"/>
        <v>99.52941176</v>
      </c>
      <c r="DL453" s="30">
        <f t="shared" si="186"/>
        <v>153.5294118</v>
      </c>
      <c r="DM453" s="30">
        <f t="shared" si="187"/>
        <v>345.1764706</v>
      </c>
      <c r="DN453" s="30">
        <f t="shared" si="188"/>
        <v>90</v>
      </c>
      <c r="DO453" s="30">
        <f t="shared" si="189"/>
        <v>0</v>
      </c>
      <c r="DP453" s="30">
        <f t="shared" si="190"/>
        <v>330.3529412</v>
      </c>
      <c r="DQ453" s="30">
        <f t="shared" si="191"/>
        <v>100.5882353</v>
      </c>
      <c r="DR453" s="24"/>
      <c r="DS453" s="24"/>
      <c r="DT453" s="24"/>
      <c r="DU453" s="24"/>
      <c r="DV453" s="29">
        <v>50.0</v>
      </c>
      <c r="DW453" s="39">
        <v>62.24221453</v>
      </c>
      <c r="DX453" s="4"/>
      <c r="DY453" s="4">
        <v>8.0</v>
      </c>
      <c r="DZ453" s="40">
        <v>14.75086505</v>
      </c>
      <c r="EA453" s="24"/>
      <c r="EC453" s="24"/>
      <c r="ED453" s="24"/>
      <c r="EE453" s="24"/>
      <c r="EF453" s="24"/>
      <c r="EG453" s="24"/>
      <c r="EH453" s="24"/>
      <c r="EI453" s="24"/>
      <c r="EJ453" s="24"/>
      <c r="EK453" s="24"/>
      <c r="EL453" s="24"/>
      <c r="EM453" s="24"/>
    </row>
    <row r="454">
      <c r="B454" s="5" t="s">
        <v>11</v>
      </c>
      <c r="C454" s="31">
        <v>76.23529411764706</v>
      </c>
      <c r="D454" s="31">
        <v>6.352941176470588</v>
      </c>
      <c r="E454" s="31">
        <v>85.76470588235294</v>
      </c>
      <c r="F454" s="31">
        <v>4.235294117647059</v>
      </c>
      <c r="G454" s="31">
        <v>5.294117647058823</v>
      </c>
      <c r="H454" s="31">
        <v>3.176470588235294</v>
      </c>
      <c r="I454" s="31">
        <v>82.58823529411765</v>
      </c>
      <c r="J454" s="31">
        <v>4.235294117647059</v>
      </c>
      <c r="K454" s="31">
        <v>4.235294117647059</v>
      </c>
      <c r="L454" s="31">
        <v>2.1176470588235294</v>
      </c>
      <c r="M454" s="31">
        <v>3.176470588235294</v>
      </c>
      <c r="N454" s="31">
        <v>51.88235294117647</v>
      </c>
      <c r="O454" s="31">
        <v>2.1176470588235294</v>
      </c>
      <c r="P454" s="31">
        <v>87.88235294117646</v>
      </c>
      <c r="Q454" s="31">
        <v>77.29411764705883</v>
      </c>
      <c r="R454" s="31">
        <v>19.058823529411764</v>
      </c>
      <c r="S454" s="31">
        <v>29.647058823529413</v>
      </c>
      <c r="T454" s="31">
        <v>1.0588235294117647</v>
      </c>
      <c r="U454" s="31">
        <v>88.94117647058823</v>
      </c>
      <c r="V454" s="31">
        <v>44.470588235294116</v>
      </c>
      <c r="W454" s="31">
        <v>3.176470588235294</v>
      </c>
      <c r="X454" s="31">
        <v>86.82352941176471</v>
      </c>
      <c r="Y454" s="31">
        <v>70.94117647058823</v>
      </c>
      <c r="Z454" s="31">
        <v>14.823529411764707</v>
      </c>
      <c r="AA454" s="31">
        <v>83.6470588235294</v>
      </c>
      <c r="AB454" s="31">
        <v>83.6470588235294</v>
      </c>
      <c r="AC454" s="31">
        <v>1.0588235294117647</v>
      </c>
      <c r="AD454" s="31">
        <v>29.647058823529413</v>
      </c>
      <c r="AE454" s="31">
        <v>6.352941176470588</v>
      </c>
      <c r="AF454" s="31">
        <v>6.352941176470588</v>
      </c>
      <c r="AG454" s="31">
        <v>7.411764705882353</v>
      </c>
      <c r="AH454" s="31">
        <v>9.529411764705882</v>
      </c>
      <c r="AI454" s="31">
        <v>70.94117647058823</v>
      </c>
      <c r="AJ454" s="31">
        <v>70.94117647058823</v>
      </c>
      <c r="AK454" s="31">
        <v>12.705882352941176</v>
      </c>
      <c r="AL454" s="31">
        <v>94.23529411764706</v>
      </c>
      <c r="AM454" s="31">
        <v>84.70588235294117</v>
      </c>
      <c r="AN454" s="31">
        <v>4.235294117647059</v>
      </c>
      <c r="AO454" s="31">
        <v>41.294117647058826</v>
      </c>
      <c r="AP454" s="31">
        <v>3.176470588235294</v>
      </c>
      <c r="AQ454" s="31">
        <v>4.235294117647059</v>
      </c>
      <c r="AR454" s="31">
        <v>46.588235294117645</v>
      </c>
      <c r="AS454" s="31">
        <v>5.294117647058823</v>
      </c>
      <c r="AT454" s="31">
        <v>6.352941176470588</v>
      </c>
      <c r="AU454" s="31">
        <v>27.529411764705884</v>
      </c>
      <c r="AV454" s="31">
        <v>2.1176470588235294</v>
      </c>
      <c r="AW454" s="31">
        <v>3.176470588235294</v>
      </c>
      <c r="AX454" s="31">
        <v>4.235294117647059</v>
      </c>
      <c r="AY454" s="31">
        <v>20.11764705882353</v>
      </c>
      <c r="AZ454" s="31">
        <v>68.82352941176471</v>
      </c>
      <c r="BA454" s="31">
        <v>44.470588235294116</v>
      </c>
      <c r="BB454" s="31">
        <v>46.588235294117645</v>
      </c>
      <c r="BC454" s="31">
        <v>2.1176470588235294</v>
      </c>
      <c r="BD454" s="31">
        <v>3.176470588235294</v>
      </c>
      <c r="BE454" s="31">
        <v>42.35294117647059</v>
      </c>
      <c r="BF454" s="31">
        <v>4.235294117647059</v>
      </c>
      <c r="BG454" s="31">
        <v>64.58823529411765</v>
      </c>
      <c r="BH454" s="31">
        <v>7.411764705882353</v>
      </c>
      <c r="BI454" s="31">
        <v>7.411764705882353</v>
      </c>
      <c r="BJ454" s="31">
        <v>10.588235294117647</v>
      </c>
      <c r="BK454" s="31">
        <v>15.882352941176471</v>
      </c>
      <c r="BL454" s="31">
        <v>43.411764705882355</v>
      </c>
      <c r="BM454" s="31">
        <v>6.352941176470588</v>
      </c>
      <c r="BN454" s="31">
        <v>7.411764705882353</v>
      </c>
      <c r="BO454" s="31">
        <v>45.529411764705884</v>
      </c>
      <c r="BP454" s="31">
        <v>4.235294117647059</v>
      </c>
      <c r="BQ454" s="31">
        <v>4.235294117647059</v>
      </c>
      <c r="BR454" s="31">
        <v>21.176470588235293</v>
      </c>
      <c r="BS454" s="31">
        <v>16.941176470588236</v>
      </c>
      <c r="BT454" s="31">
        <v>63.529411764705884</v>
      </c>
      <c r="BU454" s="31">
        <v>68.82352941176471</v>
      </c>
      <c r="BV454" s="31">
        <v>67.76470588235294</v>
      </c>
      <c r="BW454" s="31">
        <v>68.82352941176471</v>
      </c>
      <c r="BX454" s="31">
        <v>20.11764705882353</v>
      </c>
      <c r="BY454" s="31">
        <v>46.588235294117645</v>
      </c>
      <c r="BZ454" s="31">
        <v>45.529411764705884</v>
      </c>
      <c r="CA454" s="31">
        <v>68.82352941176471</v>
      </c>
      <c r="CB454" s="31">
        <v>78.3529411764706</v>
      </c>
      <c r="CC454" s="31">
        <v>5.294117647058823</v>
      </c>
      <c r="CD454" s="31">
        <v>27.529411764705884</v>
      </c>
      <c r="CE454" s="31">
        <v>63.529411764705884</v>
      </c>
      <c r="CF454" s="31">
        <v>66.70588235294117</v>
      </c>
      <c r="CG454" s="31">
        <v>25.41176470588235</v>
      </c>
      <c r="CH454" s="31">
        <v>26.470588235294116</v>
      </c>
      <c r="CI454" s="31">
        <v>8.470588235294118</v>
      </c>
      <c r="CJ454" s="31">
        <v>65.6470588235294</v>
      </c>
      <c r="CK454" s="31">
        <v>73.05882352941177</v>
      </c>
      <c r="CL454" s="31">
        <v>16.941176470588236</v>
      </c>
      <c r="CM454" s="31">
        <v>11.647058823529411</v>
      </c>
      <c r="CN454" s="31">
        <v>41.294117647058826</v>
      </c>
      <c r="CO454" s="31">
        <v>72.0</v>
      </c>
      <c r="CP454" s="31">
        <v>18.0</v>
      </c>
      <c r="CQ454" s="31">
        <v>22.235294117647058</v>
      </c>
      <c r="CR454" s="31">
        <v>13.764705882352942</v>
      </c>
      <c r="CV454" s="30">
        <f t="shared" si="170"/>
        <v>169.4117647</v>
      </c>
      <c r="CW454" s="30">
        <f t="shared" si="171"/>
        <v>94.23529412</v>
      </c>
      <c r="CX454" s="30">
        <f t="shared" si="172"/>
        <v>189.5294118</v>
      </c>
      <c r="CY454" s="30">
        <f t="shared" si="173"/>
        <v>154.5882353</v>
      </c>
      <c r="CZ454" s="30">
        <f t="shared" si="174"/>
        <v>133.4117647</v>
      </c>
      <c r="DA454" s="30">
        <f t="shared" si="175"/>
        <v>102.7058824</v>
      </c>
      <c r="DB454" s="30">
        <f t="shared" si="176"/>
        <v>39.17647059</v>
      </c>
      <c r="DC454" s="30">
        <f t="shared" si="177"/>
        <v>113.2941176</v>
      </c>
      <c r="DD454" s="30">
        <f t="shared" si="178"/>
        <v>245.6470588</v>
      </c>
      <c r="DE454" s="30">
        <f t="shared" si="179"/>
        <v>162</v>
      </c>
      <c r="DF454" s="30">
        <f t="shared" si="180"/>
        <v>40.23529412</v>
      </c>
      <c r="DG454" s="30">
        <f t="shared" si="181"/>
        <v>358.9411765</v>
      </c>
      <c r="DH454" s="30">
        <f t="shared" si="182"/>
        <v>152.4705882</v>
      </c>
      <c r="DI454" s="30">
        <f t="shared" si="183"/>
        <v>145.0588235</v>
      </c>
      <c r="DJ454" s="30">
        <f t="shared" si="184"/>
        <v>32.82352941</v>
      </c>
      <c r="DK454" s="30">
        <f t="shared" si="185"/>
        <v>26.47058824</v>
      </c>
      <c r="DL454" s="30">
        <f t="shared" si="186"/>
        <v>19.05882353</v>
      </c>
      <c r="DM454" s="30">
        <f t="shared" si="187"/>
        <v>271.0588235</v>
      </c>
      <c r="DN454" s="30">
        <f t="shared" si="188"/>
        <v>123.8823529</v>
      </c>
      <c r="DO454" s="30">
        <f t="shared" si="189"/>
        <v>162</v>
      </c>
      <c r="DP454" s="30">
        <f t="shared" si="190"/>
        <v>411.8823529</v>
      </c>
      <c r="DQ454" s="30">
        <f t="shared" si="191"/>
        <v>336.7058824</v>
      </c>
      <c r="DR454" s="24"/>
      <c r="DS454" s="24"/>
      <c r="DT454" s="24"/>
      <c r="DU454" s="24"/>
      <c r="DV454" s="29">
        <v>82.0</v>
      </c>
      <c r="DW454" s="39">
        <v>60.14878893</v>
      </c>
      <c r="DX454" s="24"/>
      <c r="DY454" s="29">
        <v>10.0</v>
      </c>
      <c r="DZ454" s="40">
        <v>14.92041522</v>
      </c>
      <c r="EA454" s="24"/>
      <c r="EC454" s="24"/>
      <c r="ED454" s="24"/>
      <c r="EE454" s="24"/>
      <c r="EF454" s="24"/>
      <c r="EG454" s="24"/>
      <c r="EH454" s="24"/>
      <c r="EI454" s="24"/>
      <c r="EJ454" s="24"/>
      <c r="EK454" s="24"/>
      <c r="EL454" s="24"/>
      <c r="EM454" s="24"/>
    </row>
    <row r="455">
      <c r="B455" s="5" t="s">
        <v>12</v>
      </c>
      <c r="C455" s="31">
        <v>11.647058823529411</v>
      </c>
      <c r="D455" s="31">
        <v>0.0</v>
      </c>
      <c r="E455" s="31">
        <v>87.88235294117646</v>
      </c>
      <c r="F455" s="31">
        <v>87.88235294117646</v>
      </c>
      <c r="G455" s="31">
        <v>0.0</v>
      </c>
      <c r="H455" s="31">
        <v>0.0</v>
      </c>
      <c r="I455" s="31">
        <v>90.0</v>
      </c>
      <c r="J455" s="31">
        <v>0.0</v>
      </c>
      <c r="K455" s="31">
        <v>0.0</v>
      </c>
      <c r="L455" s="31">
        <v>0.0</v>
      </c>
      <c r="M455" s="31">
        <v>0.0</v>
      </c>
      <c r="N455" s="31">
        <v>90.0</v>
      </c>
      <c r="O455" s="31">
        <v>2.1176470588235294</v>
      </c>
      <c r="P455" s="31">
        <v>90.0</v>
      </c>
      <c r="Q455" s="31">
        <v>90.0</v>
      </c>
      <c r="R455" s="31">
        <v>0.0</v>
      </c>
      <c r="S455" s="31">
        <v>66.70588235294117</v>
      </c>
      <c r="T455" s="31">
        <v>90.0</v>
      </c>
      <c r="U455" s="31">
        <v>0.0</v>
      </c>
      <c r="V455" s="31">
        <v>72.0</v>
      </c>
      <c r="W455" s="31">
        <v>0.0</v>
      </c>
      <c r="X455" s="31">
        <v>90.0</v>
      </c>
      <c r="Y455" s="31">
        <v>0.0</v>
      </c>
      <c r="Z455" s="31">
        <v>26.470588235294116</v>
      </c>
      <c r="AA455" s="31">
        <v>2.1176470588235294</v>
      </c>
      <c r="AB455" s="31">
        <v>22.235294117647058</v>
      </c>
      <c r="AC455" s="31">
        <v>2.1176470588235294</v>
      </c>
      <c r="AD455" s="31">
        <v>56.11764705882353</v>
      </c>
      <c r="AE455" s="31">
        <v>24.352941176470587</v>
      </c>
      <c r="AF455" s="31">
        <v>2.1176470588235294</v>
      </c>
      <c r="AG455" s="31">
        <v>2.1176470588235294</v>
      </c>
      <c r="AH455" s="31">
        <v>0.0</v>
      </c>
      <c r="AI455" s="31">
        <v>90.0</v>
      </c>
      <c r="AJ455" s="31">
        <v>90.0</v>
      </c>
      <c r="AK455" s="31">
        <v>31.764705882352942</v>
      </c>
      <c r="AL455" s="31">
        <v>90.0</v>
      </c>
      <c r="AM455" s="31">
        <v>30.705882352941178</v>
      </c>
      <c r="AN455" s="31">
        <v>2.1176470588235294</v>
      </c>
      <c r="AO455" s="31">
        <v>0.0</v>
      </c>
      <c r="AP455" s="31">
        <v>0.0</v>
      </c>
      <c r="AQ455" s="31">
        <v>0.0</v>
      </c>
      <c r="AR455" s="31">
        <v>0.0</v>
      </c>
      <c r="AS455" s="31">
        <v>0.0</v>
      </c>
      <c r="AT455" s="31">
        <v>0.0</v>
      </c>
      <c r="AU455" s="31">
        <v>0.0</v>
      </c>
      <c r="AV455" s="31">
        <v>0.0</v>
      </c>
      <c r="AW455" s="31">
        <v>0.0</v>
      </c>
      <c r="AX455" s="31">
        <v>2.1176470588235294</v>
      </c>
      <c r="AY455" s="31">
        <v>1.0588235294117647</v>
      </c>
      <c r="AZ455" s="31">
        <v>0.0</v>
      </c>
      <c r="BA455" s="31">
        <v>1.0588235294117647</v>
      </c>
      <c r="BB455" s="31">
        <v>0.0</v>
      </c>
      <c r="BC455" s="31">
        <v>0.0</v>
      </c>
      <c r="BD455" s="31">
        <v>1.0588235294117647</v>
      </c>
      <c r="BE455" s="31">
        <v>0.0</v>
      </c>
      <c r="BF455" s="31">
        <v>0.0</v>
      </c>
      <c r="BG455" s="31">
        <v>90.0</v>
      </c>
      <c r="BH455" s="31">
        <v>90.0</v>
      </c>
      <c r="BI455" s="31">
        <v>0.0</v>
      </c>
      <c r="BJ455" s="31">
        <v>0.0</v>
      </c>
      <c r="BK455" s="31">
        <v>2.1176470588235294</v>
      </c>
      <c r="BL455" s="31">
        <v>0.0</v>
      </c>
      <c r="BM455" s="31">
        <v>0.0</v>
      </c>
      <c r="BN455" s="31">
        <v>2.1176470588235294</v>
      </c>
      <c r="BO455" s="31">
        <v>2.1176470588235294</v>
      </c>
      <c r="BP455" s="31">
        <v>0.0</v>
      </c>
      <c r="BQ455" s="31">
        <v>0.0</v>
      </c>
      <c r="BR455" s="31">
        <v>0.0</v>
      </c>
      <c r="BS455" s="31">
        <v>90.0</v>
      </c>
      <c r="BT455" s="31">
        <v>0.0</v>
      </c>
      <c r="BU455" s="31">
        <v>0.0</v>
      </c>
      <c r="BV455" s="31">
        <v>0.0</v>
      </c>
      <c r="BW455" s="31">
        <v>0.0</v>
      </c>
      <c r="BX455" s="31">
        <v>0.0</v>
      </c>
      <c r="BY455" s="31">
        <v>2.1176470588235294</v>
      </c>
      <c r="BZ455" s="31">
        <v>0.0</v>
      </c>
      <c r="CA455" s="31">
        <v>0.0</v>
      </c>
      <c r="CB455" s="31">
        <v>0.0</v>
      </c>
      <c r="CC455" s="31">
        <v>2.1176470588235294</v>
      </c>
      <c r="CD455" s="31">
        <v>0.0</v>
      </c>
      <c r="CE455" s="31">
        <v>88.94117647058823</v>
      </c>
      <c r="CF455" s="31">
        <v>90.0</v>
      </c>
      <c r="CG455" s="31">
        <v>3.176470588235294</v>
      </c>
      <c r="CH455" s="31">
        <v>0.0</v>
      </c>
      <c r="CI455" s="31">
        <v>4.235294117647059</v>
      </c>
      <c r="CJ455" s="31">
        <v>88.94117647058823</v>
      </c>
      <c r="CK455" s="31">
        <v>90.0</v>
      </c>
      <c r="CL455" s="31">
        <v>90.0</v>
      </c>
      <c r="CM455" s="31">
        <v>2.1176470588235294</v>
      </c>
      <c r="CN455" s="31">
        <v>90.0</v>
      </c>
      <c r="CO455" s="31">
        <v>88.94117647058823</v>
      </c>
      <c r="CP455" s="31">
        <v>0.0</v>
      </c>
      <c r="CQ455" s="31">
        <v>0.0</v>
      </c>
      <c r="CR455" s="31">
        <v>0.0</v>
      </c>
      <c r="CV455" s="30">
        <f t="shared" si="170"/>
        <v>180</v>
      </c>
      <c r="CW455" s="30">
        <f t="shared" si="171"/>
        <v>88.94117647</v>
      </c>
      <c r="CX455" s="30">
        <f t="shared" si="172"/>
        <v>267.8823529</v>
      </c>
      <c r="CY455" s="30">
        <f t="shared" si="173"/>
        <v>90</v>
      </c>
      <c r="CZ455" s="30">
        <f t="shared" si="174"/>
        <v>22.23529412</v>
      </c>
      <c r="DA455" s="30">
        <f t="shared" si="175"/>
        <v>6.352941176</v>
      </c>
      <c r="DB455" s="30">
        <f t="shared" si="176"/>
        <v>2.117647059</v>
      </c>
      <c r="DC455" s="30">
        <f t="shared" si="177"/>
        <v>92.11764706</v>
      </c>
      <c r="DD455" s="30">
        <f t="shared" si="178"/>
        <v>270</v>
      </c>
      <c r="DE455" s="30">
        <f t="shared" si="179"/>
        <v>74.11764706</v>
      </c>
      <c r="DF455" s="30">
        <f t="shared" si="180"/>
        <v>59.29411765</v>
      </c>
      <c r="DG455" s="30">
        <f t="shared" si="181"/>
        <v>371.6470588</v>
      </c>
      <c r="DH455" s="30">
        <f t="shared" si="182"/>
        <v>22.23529412</v>
      </c>
      <c r="DI455" s="30">
        <f t="shared" si="183"/>
        <v>90</v>
      </c>
      <c r="DJ455" s="30">
        <f t="shared" si="184"/>
        <v>6.352941176</v>
      </c>
      <c r="DK455" s="30">
        <f t="shared" si="185"/>
        <v>94.23529412</v>
      </c>
      <c r="DL455" s="30">
        <f t="shared" si="186"/>
        <v>2.117647059</v>
      </c>
      <c r="DM455" s="30">
        <f t="shared" si="187"/>
        <v>273.1764706</v>
      </c>
      <c r="DN455" s="30">
        <f t="shared" si="188"/>
        <v>90</v>
      </c>
      <c r="DO455" s="30">
        <f t="shared" si="189"/>
        <v>74.11764706</v>
      </c>
      <c r="DP455" s="30">
        <f t="shared" si="190"/>
        <v>99.52941176</v>
      </c>
      <c r="DQ455" s="30">
        <f t="shared" si="191"/>
        <v>241.4117647</v>
      </c>
      <c r="DR455" s="24"/>
      <c r="DS455" s="24"/>
      <c r="DT455" s="24"/>
      <c r="DU455" s="24"/>
      <c r="DV455" s="29">
        <v>91.0</v>
      </c>
      <c r="DW455" s="39">
        <v>57.40138408</v>
      </c>
      <c r="DX455" s="24"/>
      <c r="DY455" s="29">
        <v>25.0</v>
      </c>
      <c r="DZ455" s="40">
        <v>15.70242215</v>
      </c>
      <c r="EA455" s="24"/>
      <c r="EC455" s="24"/>
      <c r="ED455" s="24"/>
      <c r="EE455" s="24"/>
      <c r="EF455" s="24"/>
      <c r="EG455" s="24"/>
      <c r="EH455" s="24"/>
      <c r="EI455" s="24"/>
      <c r="EJ455" s="24"/>
      <c r="EK455" s="24"/>
      <c r="EL455" s="24"/>
      <c r="EM455" s="24"/>
    </row>
    <row r="456">
      <c r="B456" s="5" t="s">
        <v>13</v>
      </c>
      <c r="C456" s="31">
        <v>75.17647058823529</v>
      </c>
      <c r="D456" s="31">
        <v>7.411764705882353</v>
      </c>
      <c r="E456" s="31">
        <v>20.11764705882353</v>
      </c>
      <c r="F456" s="31">
        <v>0.0</v>
      </c>
      <c r="G456" s="31">
        <v>0.0</v>
      </c>
      <c r="H456" s="31">
        <v>3.176470588235294</v>
      </c>
      <c r="I456" s="31">
        <v>90.0</v>
      </c>
      <c r="J456" s="31">
        <v>70.94117647058823</v>
      </c>
      <c r="K456" s="31">
        <v>69.88235294117646</v>
      </c>
      <c r="L456" s="31">
        <v>9.529411764705882</v>
      </c>
      <c r="M456" s="31">
        <v>7.411764705882353</v>
      </c>
      <c r="N456" s="31">
        <v>55.05882352941177</v>
      </c>
      <c r="O456" s="31">
        <v>6.352941176470588</v>
      </c>
      <c r="P456" s="31">
        <v>90.0</v>
      </c>
      <c r="Q456" s="31">
        <v>75.17647058823529</v>
      </c>
      <c r="R456" s="31">
        <v>90.0</v>
      </c>
      <c r="S456" s="31">
        <v>7.411764705882353</v>
      </c>
      <c r="T456" s="31">
        <v>63.529411764705884</v>
      </c>
      <c r="U456" s="31">
        <v>13.764705882352942</v>
      </c>
      <c r="V456" s="31">
        <v>90.0</v>
      </c>
      <c r="W456" s="31">
        <v>61.411764705882355</v>
      </c>
      <c r="X456" s="31">
        <v>90.0</v>
      </c>
      <c r="Y456" s="31">
        <v>80.47058823529412</v>
      </c>
      <c r="Z456" s="31">
        <v>2.1176470588235294</v>
      </c>
      <c r="AA456" s="31">
        <v>3.176470588235294</v>
      </c>
      <c r="AB456" s="31">
        <v>83.6470588235294</v>
      </c>
      <c r="AC456" s="31">
        <v>73.05882352941177</v>
      </c>
      <c r="AD456" s="31">
        <v>56.11764705882353</v>
      </c>
      <c r="AE456" s="31">
        <v>9.529411764705882</v>
      </c>
      <c r="AF456" s="31">
        <v>8.470588235294118</v>
      </c>
      <c r="AG456" s="31">
        <v>37.05882352941177</v>
      </c>
      <c r="AH456" s="31">
        <v>84.70588235294117</v>
      </c>
      <c r="AI456" s="31">
        <v>90.0</v>
      </c>
      <c r="AJ456" s="31">
        <v>46.588235294117645</v>
      </c>
      <c r="AK456" s="31">
        <v>13.764705882352942</v>
      </c>
      <c r="AL456" s="31">
        <v>90.0</v>
      </c>
      <c r="AM456" s="31">
        <v>79.41176470588235</v>
      </c>
      <c r="AN456" s="31">
        <v>83.6470588235294</v>
      </c>
      <c r="AO456" s="31">
        <v>69.88235294117646</v>
      </c>
      <c r="AP456" s="31">
        <v>86.82352941176471</v>
      </c>
      <c r="AQ456" s="31">
        <v>90.0</v>
      </c>
      <c r="AR456" s="31">
        <v>25.41176470588235</v>
      </c>
      <c r="AS456" s="31">
        <v>90.0</v>
      </c>
      <c r="AT456" s="31">
        <v>54.0</v>
      </c>
      <c r="AU456" s="31">
        <v>86.82352941176471</v>
      </c>
      <c r="AV456" s="31">
        <v>70.94117647058823</v>
      </c>
      <c r="AW456" s="31">
        <v>31.764705882352942</v>
      </c>
      <c r="AX456" s="31">
        <v>7.411764705882353</v>
      </c>
      <c r="AY456" s="31">
        <v>0.0</v>
      </c>
      <c r="AZ456" s="31">
        <v>80.47058823529412</v>
      </c>
      <c r="BA456" s="31">
        <v>25.41176470588235</v>
      </c>
      <c r="BB456" s="31">
        <v>84.70588235294117</v>
      </c>
      <c r="BC456" s="31">
        <v>52.94117647058823</v>
      </c>
      <c r="BD456" s="31">
        <v>49.76470588235294</v>
      </c>
      <c r="BE456" s="31">
        <v>34.94117647058823</v>
      </c>
      <c r="BF456" s="31">
        <v>7.411764705882353</v>
      </c>
      <c r="BG456" s="31">
        <v>84.70588235294117</v>
      </c>
      <c r="BH456" s="31">
        <v>8.470588235294118</v>
      </c>
      <c r="BI456" s="31">
        <v>0.0</v>
      </c>
      <c r="BJ456" s="31">
        <v>20.11764705882353</v>
      </c>
      <c r="BK456" s="31">
        <v>0.0</v>
      </c>
      <c r="BL456" s="31">
        <v>68.82352941176471</v>
      </c>
      <c r="BM456" s="31">
        <v>32.8235294117647</v>
      </c>
      <c r="BN456" s="31">
        <v>81.52941176470588</v>
      </c>
      <c r="BO456" s="31">
        <v>7.411764705882353</v>
      </c>
      <c r="BP456" s="31">
        <v>2.1176470588235294</v>
      </c>
      <c r="BQ456" s="31">
        <v>81.52941176470588</v>
      </c>
      <c r="BR456" s="31">
        <v>0.0</v>
      </c>
      <c r="BS456" s="31">
        <v>6.352941176470588</v>
      </c>
      <c r="BT456" s="31">
        <v>26.470588235294116</v>
      </c>
      <c r="BU456" s="31">
        <v>90.0</v>
      </c>
      <c r="BV456" s="31">
        <v>0.0</v>
      </c>
      <c r="BW456" s="31">
        <v>11.647058823529411</v>
      </c>
      <c r="BX456" s="31">
        <v>2.1176470588235294</v>
      </c>
      <c r="BY456" s="31">
        <v>63.529411764705884</v>
      </c>
      <c r="BZ456" s="31">
        <v>5.294117647058823</v>
      </c>
      <c r="CA456" s="31">
        <v>5.294117647058823</v>
      </c>
      <c r="CB456" s="31">
        <v>87.88235294117646</v>
      </c>
      <c r="CC456" s="31">
        <v>59.294117647058826</v>
      </c>
      <c r="CD456" s="31">
        <v>4.235294117647059</v>
      </c>
      <c r="CE456" s="31">
        <v>81.52941176470588</v>
      </c>
      <c r="CF456" s="31">
        <v>90.0</v>
      </c>
      <c r="CG456" s="31">
        <v>44.470588235294116</v>
      </c>
      <c r="CH456" s="31">
        <v>7.411764705882353</v>
      </c>
      <c r="CI456" s="31">
        <v>64.58823529411765</v>
      </c>
      <c r="CJ456" s="31">
        <v>75.17647058823529</v>
      </c>
      <c r="CK456" s="31">
        <v>86.82352941176471</v>
      </c>
      <c r="CL456" s="31">
        <v>41.294117647058826</v>
      </c>
      <c r="CM456" s="31">
        <v>2.1176470588235294</v>
      </c>
      <c r="CN456" s="31">
        <v>0.0</v>
      </c>
      <c r="CO456" s="31">
        <v>47.64705882352941</v>
      </c>
      <c r="CP456" s="31">
        <v>4.235294117647059</v>
      </c>
      <c r="CQ456" s="31">
        <v>4.235294117647059</v>
      </c>
      <c r="CR456" s="31">
        <v>0.0</v>
      </c>
      <c r="CV456" s="30">
        <f t="shared" si="170"/>
        <v>310.2352941</v>
      </c>
      <c r="CW456" s="30">
        <f t="shared" si="171"/>
        <v>158.8235294</v>
      </c>
      <c r="CX456" s="30">
        <f t="shared" si="172"/>
        <v>177.8823529</v>
      </c>
      <c r="CY456" s="30">
        <f t="shared" si="173"/>
        <v>92.11764706</v>
      </c>
      <c r="CZ456" s="30">
        <f t="shared" si="174"/>
        <v>185.2941176</v>
      </c>
      <c r="DA456" s="30">
        <f t="shared" si="175"/>
        <v>510.3529412</v>
      </c>
      <c r="DB456" s="30">
        <f t="shared" si="176"/>
        <v>309.1764706</v>
      </c>
      <c r="DC456" s="30">
        <f t="shared" si="177"/>
        <v>219.1764706</v>
      </c>
      <c r="DD456" s="30">
        <f t="shared" si="178"/>
        <v>270</v>
      </c>
      <c r="DE456" s="30">
        <f t="shared" si="179"/>
        <v>234</v>
      </c>
      <c r="DF456" s="30">
        <f t="shared" si="180"/>
        <v>142.9411765</v>
      </c>
      <c r="DG456" s="30">
        <f t="shared" si="181"/>
        <v>516.7058824</v>
      </c>
      <c r="DH456" s="30">
        <f t="shared" si="182"/>
        <v>275.2941176</v>
      </c>
      <c r="DI456" s="30">
        <f t="shared" si="183"/>
        <v>264.7058824</v>
      </c>
      <c r="DJ456" s="30">
        <f t="shared" si="184"/>
        <v>422.4705882</v>
      </c>
      <c r="DK456" s="30">
        <f t="shared" si="185"/>
        <v>279.5294118</v>
      </c>
      <c r="DL456" s="30">
        <f t="shared" si="186"/>
        <v>12.70588235</v>
      </c>
      <c r="DM456" s="30">
        <f t="shared" si="187"/>
        <v>314.4705882</v>
      </c>
      <c r="DN456" s="30">
        <f t="shared" si="188"/>
        <v>159.8823529</v>
      </c>
      <c r="DO456" s="30">
        <f t="shared" si="189"/>
        <v>234</v>
      </c>
      <c r="DP456" s="30">
        <f t="shared" si="190"/>
        <v>104.8235294</v>
      </c>
      <c r="DQ456" s="30">
        <f t="shared" si="191"/>
        <v>223.4117647</v>
      </c>
      <c r="DR456" s="24"/>
      <c r="DS456" s="24"/>
      <c r="DT456" s="24"/>
      <c r="DU456" s="24"/>
      <c r="DV456" s="24"/>
      <c r="DW456" s="24"/>
      <c r="DX456" s="24"/>
      <c r="DY456" s="24"/>
      <c r="DZ456" s="24"/>
      <c r="EA456" s="24"/>
      <c r="EB456" s="24"/>
      <c r="EC456" s="24"/>
      <c r="ED456" s="24"/>
      <c r="EE456" s="24"/>
      <c r="EF456" s="24"/>
      <c r="EG456" s="24"/>
      <c r="EH456" s="24"/>
      <c r="EI456" s="24"/>
      <c r="EJ456" s="24"/>
      <c r="EK456" s="24"/>
      <c r="EL456" s="24"/>
      <c r="EM456" s="24"/>
    </row>
    <row r="457">
      <c r="B457" s="5" t="s">
        <v>14</v>
      </c>
      <c r="C457" s="31">
        <v>76.23529411764706</v>
      </c>
      <c r="D457" s="31">
        <v>14.823529411764707</v>
      </c>
      <c r="E457" s="31">
        <v>44.470588235294116</v>
      </c>
      <c r="F457" s="31">
        <v>2.1176470588235294</v>
      </c>
      <c r="G457" s="31">
        <v>19.058823529411764</v>
      </c>
      <c r="H457" s="31">
        <v>32.8235294117647</v>
      </c>
      <c r="I457" s="31">
        <v>79.41176470588235</v>
      </c>
      <c r="J457" s="31">
        <v>0.0</v>
      </c>
      <c r="K457" s="31">
        <v>79.41176470588235</v>
      </c>
      <c r="L457" s="31">
        <v>0.0</v>
      </c>
      <c r="M457" s="31">
        <v>2.1176470588235294</v>
      </c>
      <c r="N457" s="31">
        <v>48.705882352941174</v>
      </c>
      <c r="O457" s="31">
        <v>1.0588235294117647</v>
      </c>
      <c r="P457" s="31">
        <v>88.94117647058823</v>
      </c>
      <c r="Q457" s="31">
        <v>0.0</v>
      </c>
      <c r="R457" s="31">
        <v>24.352941176470587</v>
      </c>
      <c r="S457" s="31">
        <v>19.058823529411764</v>
      </c>
      <c r="T457" s="31">
        <v>47.64705882352941</v>
      </c>
      <c r="U457" s="31">
        <v>0.0</v>
      </c>
      <c r="V457" s="31">
        <v>36.0</v>
      </c>
      <c r="W457" s="31">
        <v>19.058823529411764</v>
      </c>
      <c r="X457" s="31">
        <v>87.88235294117646</v>
      </c>
      <c r="Y457" s="31">
        <v>34.94117647058823</v>
      </c>
      <c r="Z457" s="31">
        <v>1.0588235294117647</v>
      </c>
      <c r="AA457" s="31">
        <v>0.0</v>
      </c>
      <c r="AB457" s="31">
        <v>34.94117647058823</v>
      </c>
      <c r="AC457" s="31">
        <v>14.823529411764707</v>
      </c>
      <c r="AD457" s="31">
        <v>64.58823529411765</v>
      </c>
      <c r="AE457" s="31">
        <v>0.0</v>
      </c>
      <c r="AF457" s="31">
        <v>0.0</v>
      </c>
      <c r="AG457" s="31">
        <v>1.0588235294117647</v>
      </c>
      <c r="AH457" s="31">
        <v>1.0588235294117647</v>
      </c>
      <c r="AI457" s="31">
        <v>76.23529411764706</v>
      </c>
      <c r="AJ457" s="31">
        <v>68.82352941176471</v>
      </c>
      <c r="AK457" s="31">
        <v>62.470588235294116</v>
      </c>
      <c r="AL457" s="31">
        <v>62.470588235294116</v>
      </c>
      <c r="AM457" s="31">
        <v>21.176470588235293</v>
      </c>
      <c r="AN457" s="31">
        <v>0.0</v>
      </c>
      <c r="AO457" s="31">
        <v>90.0</v>
      </c>
      <c r="AP457" s="31">
        <v>67.76470588235294</v>
      </c>
      <c r="AQ457" s="31">
        <v>60.35294117647059</v>
      </c>
      <c r="AR457" s="31">
        <v>55.05882352941177</v>
      </c>
      <c r="AS457" s="31">
        <v>21.176470588235293</v>
      </c>
      <c r="AT457" s="31">
        <v>0.0</v>
      </c>
      <c r="AU457" s="31">
        <v>90.0</v>
      </c>
      <c r="AV457" s="31">
        <v>0.0</v>
      </c>
      <c r="AW457" s="31">
        <v>0.0</v>
      </c>
      <c r="AX457" s="31">
        <v>0.0</v>
      </c>
      <c r="AY457" s="31">
        <v>0.0</v>
      </c>
      <c r="AZ457" s="31">
        <v>68.82352941176471</v>
      </c>
      <c r="BA457" s="31">
        <v>0.0</v>
      </c>
      <c r="BB457" s="31">
        <v>3.176470588235294</v>
      </c>
      <c r="BC457" s="31">
        <v>0.0</v>
      </c>
      <c r="BD457" s="31">
        <v>0.0</v>
      </c>
      <c r="BE457" s="31">
        <v>1.0588235294117647</v>
      </c>
      <c r="BF457" s="31">
        <v>24.352941176470587</v>
      </c>
      <c r="BG457" s="31">
        <v>74.11764705882354</v>
      </c>
      <c r="BH457" s="31">
        <v>0.0</v>
      </c>
      <c r="BI457" s="31">
        <v>27.529411764705884</v>
      </c>
      <c r="BJ457" s="31">
        <v>22.235294117647058</v>
      </c>
      <c r="BK457" s="31">
        <v>14.823529411764707</v>
      </c>
      <c r="BL457" s="31">
        <v>74.11764705882354</v>
      </c>
      <c r="BM457" s="31">
        <v>60.35294117647059</v>
      </c>
      <c r="BN457" s="31">
        <v>56.11764705882353</v>
      </c>
      <c r="BO457" s="31">
        <v>2.1176470588235294</v>
      </c>
      <c r="BP457" s="31">
        <v>3.176470588235294</v>
      </c>
      <c r="BQ457" s="31">
        <v>0.0</v>
      </c>
      <c r="BR457" s="31">
        <v>0.0</v>
      </c>
      <c r="BS457" s="31">
        <v>55.05882352941177</v>
      </c>
      <c r="BT457" s="31">
        <v>88.94117647058823</v>
      </c>
      <c r="BU457" s="31">
        <v>37.05882352941177</v>
      </c>
      <c r="BV457" s="31">
        <v>0.0</v>
      </c>
      <c r="BW457" s="31">
        <v>63.529411764705884</v>
      </c>
      <c r="BX457" s="31">
        <v>0.0</v>
      </c>
      <c r="BY457" s="31">
        <v>2.1176470588235294</v>
      </c>
      <c r="BZ457" s="31">
        <v>18.0</v>
      </c>
      <c r="CA457" s="31">
        <v>12.705882352941176</v>
      </c>
      <c r="CB457" s="31">
        <v>0.0</v>
      </c>
      <c r="CC457" s="31">
        <v>28.58823529411765</v>
      </c>
      <c r="CD457" s="31">
        <v>0.0</v>
      </c>
      <c r="CE457" s="31">
        <v>75.17647058823529</v>
      </c>
      <c r="CF457" s="31">
        <v>68.82352941176471</v>
      </c>
      <c r="CG457" s="31">
        <v>1.0588235294117647</v>
      </c>
      <c r="CH457" s="31">
        <v>0.0</v>
      </c>
      <c r="CI457" s="31">
        <v>24.352941176470587</v>
      </c>
      <c r="CJ457" s="31">
        <v>29.647058823529413</v>
      </c>
      <c r="CK457" s="31">
        <v>68.82352941176471</v>
      </c>
      <c r="CL457" s="31">
        <v>2.1176470588235294</v>
      </c>
      <c r="CM457" s="31">
        <v>0.0</v>
      </c>
      <c r="CN457" s="31">
        <v>20.11764705882353</v>
      </c>
      <c r="CO457" s="31">
        <v>22.235294117647058</v>
      </c>
      <c r="CP457" s="31">
        <v>2.1176470588235294</v>
      </c>
      <c r="CQ457" s="31">
        <v>1.0588235294117647</v>
      </c>
      <c r="CR457" s="31">
        <v>23.294117647058822</v>
      </c>
      <c r="CV457" s="30">
        <f t="shared" si="170"/>
        <v>235.0588235</v>
      </c>
      <c r="CW457" s="30">
        <f t="shared" si="171"/>
        <v>154.5882353</v>
      </c>
      <c r="CX457" s="30">
        <f t="shared" si="172"/>
        <v>100.5882353</v>
      </c>
      <c r="CY457" s="30">
        <f t="shared" si="173"/>
        <v>136.5882353</v>
      </c>
      <c r="CZ457" s="30">
        <f t="shared" si="174"/>
        <v>169.4117647</v>
      </c>
      <c r="DA457" s="30">
        <f t="shared" si="175"/>
        <v>70.94117647</v>
      </c>
      <c r="DB457" s="30">
        <f t="shared" si="176"/>
        <v>46.58823529</v>
      </c>
      <c r="DC457" s="30">
        <f t="shared" si="177"/>
        <v>187.4117647</v>
      </c>
      <c r="DD457" s="30">
        <f t="shared" si="178"/>
        <v>253.0588235</v>
      </c>
      <c r="DE457" s="30">
        <f t="shared" si="179"/>
        <v>73.05882353</v>
      </c>
      <c r="DF457" s="30">
        <f t="shared" si="180"/>
        <v>65.64705882</v>
      </c>
      <c r="DG457" s="30">
        <f t="shared" si="181"/>
        <v>452.1176471</v>
      </c>
      <c r="DH457" s="30">
        <f t="shared" si="182"/>
        <v>193.7647059</v>
      </c>
      <c r="DI457" s="30">
        <f t="shared" si="183"/>
        <v>126</v>
      </c>
      <c r="DJ457" s="30">
        <f t="shared" si="184"/>
        <v>120.7058824</v>
      </c>
      <c r="DK457" s="30">
        <f t="shared" si="185"/>
        <v>16.94117647</v>
      </c>
      <c r="DL457" s="30">
        <f t="shared" si="186"/>
        <v>57.17647059</v>
      </c>
      <c r="DM457" s="30">
        <f t="shared" si="187"/>
        <v>254.1176471</v>
      </c>
      <c r="DN457" s="30">
        <f t="shared" si="188"/>
        <v>169.4117647</v>
      </c>
      <c r="DO457" s="30">
        <f t="shared" si="189"/>
        <v>73.05882353</v>
      </c>
      <c r="DP457" s="30">
        <f t="shared" si="190"/>
        <v>48.70588235</v>
      </c>
      <c r="DQ457" s="30">
        <f t="shared" si="191"/>
        <v>98.47058824</v>
      </c>
      <c r="DR457" s="24"/>
      <c r="DS457" s="24"/>
      <c r="DT457" s="24"/>
      <c r="DU457" s="24"/>
      <c r="DV457" s="24"/>
      <c r="DW457" s="24"/>
      <c r="DX457" s="24"/>
      <c r="DY457" s="24"/>
      <c r="DZ457" s="24"/>
      <c r="EA457" s="24"/>
      <c r="EB457" s="24"/>
      <c r="EC457" s="24"/>
      <c r="ED457" s="24"/>
      <c r="EE457" s="24"/>
      <c r="EF457" s="24"/>
      <c r="EG457" s="24"/>
      <c r="EH457" s="24"/>
      <c r="EI457" s="24"/>
      <c r="EJ457" s="24"/>
      <c r="EK457" s="24"/>
      <c r="EL457" s="24"/>
      <c r="EM457" s="24"/>
    </row>
    <row r="458">
      <c r="B458" s="5" t="s">
        <v>15</v>
      </c>
      <c r="C458" s="6">
        <v>84.0</v>
      </c>
      <c r="D458" s="6">
        <v>4.0</v>
      </c>
      <c r="E458" s="6">
        <v>85.0</v>
      </c>
      <c r="F458" s="6">
        <v>3.0</v>
      </c>
      <c r="G458" s="6">
        <v>3.0</v>
      </c>
      <c r="H458" s="6">
        <v>4.0</v>
      </c>
      <c r="I458" s="6">
        <v>65.0</v>
      </c>
      <c r="J458" s="6">
        <v>2.0</v>
      </c>
      <c r="K458" s="6">
        <v>54.0</v>
      </c>
      <c r="L458" s="6">
        <v>3.0</v>
      </c>
      <c r="M458" s="6">
        <v>78.0</v>
      </c>
      <c r="N458" s="6">
        <v>65.0</v>
      </c>
      <c r="O458" s="6">
        <v>3.0</v>
      </c>
      <c r="P458" s="6">
        <v>86.0</v>
      </c>
      <c r="Q458" s="6">
        <v>82.0</v>
      </c>
      <c r="R458" s="6">
        <v>40.0</v>
      </c>
      <c r="S458" s="6">
        <v>2.0</v>
      </c>
      <c r="T458" s="6">
        <v>85.0</v>
      </c>
      <c r="U458" s="6">
        <v>85.0</v>
      </c>
      <c r="V458" s="6">
        <v>85.0</v>
      </c>
      <c r="W458" s="6">
        <v>3.0</v>
      </c>
      <c r="X458" s="6">
        <v>85.0</v>
      </c>
      <c r="Y458" s="6">
        <v>83.0</v>
      </c>
      <c r="Z458" s="6">
        <v>4.0</v>
      </c>
      <c r="AA458" s="6">
        <v>5.0</v>
      </c>
      <c r="AB458" s="6">
        <v>84.0</v>
      </c>
      <c r="AC458" s="6">
        <v>3.0</v>
      </c>
      <c r="AD458" s="6">
        <v>39.0</v>
      </c>
      <c r="AE458" s="6">
        <v>5.0</v>
      </c>
      <c r="AF458" s="6">
        <v>5.0</v>
      </c>
      <c r="AG458" s="6">
        <v>5.0</v>
      </c>
      <c r="AH458" s="6">
        <v>4.0</v>
      </c>
      <c r="AI458" s="6">
        <v>84.0</v>
      </c>
      <c r="AJ458" s="6">
        <v>84.0</v>
      </c>
      <c r="AK458" s="6">
        <v>85.0</v>
      </c>
      <c r="AL458" s="6">
        <v>85.0</v>
      </c>
      <c r="AM458" s="6">
        <v>5.0</v>
      </c>
      <c r="AN458" s="6">
        <v>6.0</v>
      </c>
      <c r="AO458" s="6">
        <v>84.0</v>
      </c>
      <c r="AP458" s="6">
        <v>3.0</v>
      </c>
      <c r="AQ458" s="6">
        <v>6.0</v>
      </c>
      <c r="AR458" s="6">
        <v>83.0</v>
      </c>
      <c r="AS458" s="6">
        <v>2.0</v>
      </c>
      <c r="AT458" s="6">
        <v>3.0</v>
      </c>
      <c r="AU458" s="6">
        <v>85.0</v>
      </c>
      <c r="AV458" s="6">
        <v>3.0</v>
      </c>
      <c r="AW458" s="6">
        <v>3.0</v>
      </c>
      <c r="AX458" s="6">
        <v>83.0</v>
      </c>
      <c r="AY458" s="6">
        <v>2.0</v>
      </c>
      <c r="AZ458" s="6">
        <v>85.0</v>
      </c>
      <c r="BA458" s="6">
        <v>3.0</v>
      </c>
      <c r="BB458" s="6">
        <v>83.0</v>
      </c>
      <c r="BC458" s="6">
        <v>2.0</v>
      </c>
      <c r="BD458" s="6">
        <v>5.0</v>
      </c>
      <c r="BE458" s="6">
        <v>5.0</v>
      </c>
      <c r="BF458" s="6">
        <v>5.0</v>
      </c>
      <c r="BG458" s="6">
        <v>86.0</v>
      </c>
      <c r="BH458" s="6">
        <v>5.0</v>
      </c>
      <c r="BI458" s="6">
        <v>3.0</v>
      </c>
      <c r="BJ458" s="6">
        <v>3.0</v>
      </c>
      <c r="BK458" s="6">
        <v>5.0</v>
      </c>
      <c r="BL458" s="6">
        <v>84.0</v>
      </c>
      <c r="BM458" s="6">
        <v>85.0</v>
      </c>
      <c r="BN458" s="6">
        <v>86.0</v>
      </c>
      <c r="BO458" s="6">
        <v>2.0</v>
      </c>
      <c r="BP458" s="6">
        <v>3.0</v>
      </c>
      <c r="BQ458" s="6">
        <v>4.0</v>
      </c>
      <c r="BR458" s="6">
        <v>3.0</v>
      </c>
      <c r="BS458" s="6">
        <v>45.0</v>
      </c>
      <c r="BT458" s="6">
        <v>85.0</v>
      </c>
      <c r="BU458" s="6">
        <v>85.0</v>
      </c>
      <c r="BV458" s="6">
        <v>5.0</v>
      </c>
      <c r="BW458" s="6">
        <v>84.0</v>
      </c>
      <c r="BX458" s="6">
        <v>82.0</v>
      </c>
      <c r="BY458" s="6">
        <v>80.0</v>
      </c>
      <c r="BZ458" s="6">
        <v>79.0</v>
      </c>
      <c r="CA458" s="6">
        <v>80.0</v>
      </c>
      <c r="CB458" s="6">
        <v>5.0</v>
      </c>
      <c r="CC458" s="6">
        <v>5.0</v>
      </c>
      <c r="CD458" s="6">
        <v>5.0</v>
      </c>
      <c r="CE458" s="6">
        <v>85.0</v>
      </c>
      <c r="CF458" s="6">
        <v>84.0</v>
      </c>
      <c r="CG458" s="6">
        <v>5.0</v>
      </c>
      <c r="CH458" s="6">
        <v>6.0</v>
      </c>
      <c r="CI458" s="6">
        <v>5.0</v>
      </c>
      <c r="CJ458" s="6">
        <v>84.0</v>
      </c>
      <c r="CK458" s="6">
        <v>83.0</v>
      </c>
      <c r="CL458" s="6">
        <v>44.0</v>
      </c>
      <c r="CM458" s="6">
        <v>3.0</v>
      </c>
      <c r="CN458" s="6">
        <v>80.0</v>
      </c>
      <c r="CO458" s="6">
        <v>87.0</v>
      </c>
      <c r="CP458" s="6">
        <v>3.0</v>
      </c>
      <c r="CQ458" s="6">
        <v>3.0</v>
      </c>
      <c r="CR458" s="6">
        <v>5.0</v>
      </c>
      <c r="CV458" s="6">
        <f t="shared" si="170"/>
        <v>341</v>
      </c>
      <c r="CW458" s="6">
        <f t="shared" si="171"/>
        <v>145</v>
      </c>
      <c r="CX458" s="6">
        <f t="shared" si="172"/>
        <v>236</v>
      </c>
      <c r="CY458" s="6">
        <f t="shared" si="173"/>
        <v>210</v>
      </c>
      <c r="CZ458" s="6">
        <f t="shared" si="174"/>
        <v>253</v>
      </c>
      <c r="DA458" s="6">
        <f t="shared" si="175"/>
        <v>109</v>
      </c>
      <c r="DB458" s="6">
        <f t="shared" si="176"/>
        <v>20</v>
      </c>
      <c r="DC458" s="6">
        <f t="shared" si="177"/>
        <v>173</v>
      </c>
      <c r="DD458" s="6">
        <f t="shared" si="178"/>
        <v>255</v>
      </c>
      <c r="DE458" s="6">
        <f t="shared" si="179"/>
        <v>248</v>
      </c>
      <c r="DF458" s="6">
        <f t="shared" si="180"/>
        <v>49</v>
      </c>
      <c r="DG458" s="6">
        <f t="shared" si="181"/>
        <v>561</v>
      </c>
      <c r="DH458" s="6">
        <f t="shared" si="182"/>
        <v>293</v>
      </c>
      <c r="DI458" s="6">
        <f t="shared" si="183"/>
        <v>174</v>
      </c>
      <c r="DJ458" s="6">
        <f t="shared" si="184"/>
        <v>102</v>
      </c>
      <c r="DK458" s="6">
        <f t="shared" si="185"/>
        <v>57</v>
      </c>
      <c r="DL458" s="6">
        <f t="shared" si="186"/>
        <v>12</v>
      </c>
      <c r="DM458" s="6">
        <f t="shared" si="187"/>
        <v>260</v>
      </c>
      <c r="DN458" s="6">
        <f t="shared" si="188"/>
        <v>149</v>
      </c>
      <c r="DO458" s="6">
        <f t="shared" si="189"/>
        <v>248</v>
      </c>
      <c r="DP458" s="6">
        <f t="shared" si="190"/>
        <v>441</v>
      </c>
      <c r="DQ458" s="6">
        <f t="shared" si="191"/>
        <v>125</v>
      </c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</row>
    <row r="459">
      <c r="B459" s="8" t="s">
        <v>16</v>
      </c>
      <c r="C459" s="6">
        <v>72.0</v>
      </c>
      <c r="D459" s="6">
        <v>30.0</v>
      </c>
      <c r="E459" s="6">
        <v>60.0</v>
      </c>
      <c r="F459" s="6">
        <v>0.0</v>
      </c>
      <c r="G459" s="6">
        <v>31.0</v>
      </c>
      <c r="H459" s="6">
        <v>0.0</v>
      </c>
      <c r="I459" s="6">
        <v>58.0</v>
      </c>
      <c r="J459" s="6">
        <v>0.0</v>
      </c>
      <c r="K459" s="6">
        <v>45.0</v>
      </c>
      <c r="L459" s="6">
        <v>0.0</v>
      </c>
      <c r="M459" s="6">
        <v>0.0</v>
      </c>
      <c r="N459" s="6">
        <v>62.0</v>
      </c>
      <c r="O459" s="6">
        <v>1.0</v>
      </c>
      <c r="P459" s="6">
        <v>90.0</v>
      </c>
      <c r="Q459" s="6">
        <v>88.0</v>
      </c>
      <c r="R459" s="6">
        <v>0.0</v>
      </c>
      <c r="S459" s="6">
        <v>21.0</v>
      </c>
      <c r="T459" s="6">
        <v>40.0</v>
      </c>
      <c r="U459" s="6">
        <v>2.0</v>
      </c>
      <c r="V459" s="6">
        <v>40.0</v>
      </c>
      <c r="W459" s="6">
        <v>0.0</v>
      </c>
      <c r="X459" s="6">
        <v>90.0</v>
      </c>
      <c r="Y459" s="6">
        <v>57.0</v>
      </c>
      <c r="Z459" s="6">
        <v>0.0</v>
      </c>
      <c r="AA459" s="6">
        <v>0.0</v>
      </c>
      <c r="AB459" s="6">
        <v>90.0</v>
      </c>
      <c r="AC459" s="6">
        <v>20.0</v>
      </c>
      <c r="AD459" s="6">
        <v>38.0</v>
      </c>
      <c r="AE459" s="6">
        <v>2.0</v>
      </c>
      <c r="AF459" s="6">
        <v>0.0</v>
      </c>
      <c r="AG459" s="6">
        <v>18.0</v>
      </c>
      <c r="AH459" s="6">
        <v>0.0</v>
      </c>
      <c r="AI459" s="6">
        <v>18.0</v>
      </c>
      <c r="AJ459" s="6">
        <v>27.0</v>
      </c>
      <c r="AK459" s="6">
        <v>54.0</v>
      </c>
      <c r="AL459" s="6">
        <v>82.0</v>
      </c>
      <c r="AM459" s="6">
        <v>26.0</v>
      </c>
      <c r="AN459" s="6">
        <v>12.0</v>
      </c>
      <c r="AO459" s="6">
        <v>11.0</v>
      </c>
      <c r="AP459" s="6">
        <v>0.0</v>
      </c>
      <c r="AQ459" s="6">
        <v>45.0</v>
      </c>
      <c r="AR459" s="6">
        <v>33.0</v>
      </c>
      <c r="AS459" s="6">
        <v>2.0</v>
      </c>
      <c r="AT459" s="6">
        <v>2.0</v>
      </c>
      <c r="AU459" s="6">
        <v>62.0</v>
      </c>
      <c r="AV459" s="6">
        <v>0.0</v>
      </c>
      <c r="AW459" s="6">
        <v>0.0</v>
      </c>
      <c r="AX459" s="6">
        <v>0.0</v>
      </c>
      <c r="AY459" s="6">
        <v>0.0</v>
      </c>
      <c r="AZ459" s="6">
        <v>61.0</v>
      </c>
      <c r="BA459" s="6">
        <v>0.0</v>
      </c>
      <c r="BB459" s="6">
        <v>12.0</v>
      </c>
      <c r="BC459" s="6">
        <v>0.0</v>
      </c>
      <c r="BD459" s="6">
        <v>0.0</v>
      </c>
      <c r="BE459" s="6">
        <v>0.0</v>
      </c>
      <c r="BF459" s="6">
        <v>0.0</v>
      </c>
      <c r="BG459" s="6">
        <v>80.0</v>
      </c>
      <c r="BH459" s="6">
        <v>22.0</v>
      </c>
      <c r="BI459" s="6">
        <v>0.0</v>
      </c>
      <c r="BJ459" s="6">
        <v>64.0</v>
      </c>
      <c r="BK459" s="6">
        <v>0.0</v>
      </c>
      <c r="BL459" s="6">
        <v>64.0</v>
      </c>
      <c r="BM459" s="6">
        <v>65.0</v>
      </c>
      <c r="BN459" s="6">
        <v>17.0</v>
      </c>
      <c r="BO459" s="6">
        <v>0.0</v>
      </c>
      <c r="BP459" s="6">
        <v>0.0</v>
      </c>
      <c r="BQ459" s="6">
        <v>10.0</v>
      </c>
      <c r="BR459" s="6">
        <v>0.0</v>
      </c>
      <c r="BS459" s="6">
        <v>2.0</v>
      </c>
      <c r="BT459" s="6">
        <v>18.0</v>
      </c>
      <c r="BU459" s="6">
        <v>90.0</v>
      </c>
      <c r="BV459" s="6">
        <v>8.0</v>
      </c>
      <c r="BW459" s="6">
        <v>38.0</v>
      </c>
      <c r="BX459" s="6">
        <v>0.0</v>
      </c>
      <c r="BY459" s="6">
        <v>51.0</v>
      </c>
      <c r="BZ459" s="6">
        <v>18.0</v>
      </c>
      <c r="CA459" s="6">
        <v>11.0</v>
      </c>
      <c r="CB459" s="6">
        <v>0.0</v>
      </c>
      <c r="CC459" s="6">
        <v>0.0</v>
      </c>
      <c r="CD459" s="6">
        <v>1.0</v>
      </c>
      <c r="CE459" s="6">
        <v>90.0</v>
      </c>
      <c r="CF459" s="6">
        <v>65.0</v>
      </c>
      <c r="CG459" s="6">
        <v>1.0</v>
      </c>
      <c r="CH459" s="6">
        <v>0.0</v>
      </c>
      <c r="CI459" s="6">
        <v>3.0</v>
      </c>
      <c r="CJ459" s="6">
        <v>65.0</v>
      </c>
      <c r="CK459" s="6">
        <v>0.0</v>
      </c>
      <c r="CL459" s="6">
        <v>34.0</v>
      </c>
      <c r="CM459" s="6">
        <v>0.0</v>
      </c>
      <c r="CN459" s="6">
        <v>0.0</v>
      </c>
      <c r="CO459" s="6">
        <v>72.0</v>
      </c>
      <c r="CP459" s="6">
        <v>0.0</v>
      </c>
      <c r="CQ459" s="6">
        <v>1.0</v>
      </c>
      <c r="CR459" s="6">
        <v>0.0</v>
      </c>
      <c r="CV459" s="6">
        <f t="shared" si="170"/>
        <v>157</v>
      </c>
      <c r="CW459" s="6">
        <f t="shared" si="171"/>
        <v>135</v>
      </c>
      <c r="CX459" s="6">
        <f t="shared" si="172"/>
        <v>199</v>
      </c>
      <c r="CY459" s="6">
        <f t="shared" si="173"/>
        <v>74</v>
      </c>
      <c r="CZ459" s="6">
        <f t="shared" si="174"/>
        <v>219</v>
      </c>
      <c r="DA459" s="6">
        <f t="shared" si="175"/>
        <v>59</v>
      </c>
      <c r="DB459" s="6">
        <f t="shared" si="176"/>
        <v>4</v>
      </c>
      <c r="DC459" s="6">
        <f t="shared" si="177"/>
        <v>76</v>
      </c>
      <c r="DD459" s="6">
        <f t="shared" si="178"/>
        <v>198</v>
      </c>
      <c r="DE459" s="6">
        <f t="shared" si="179"/>
        <v>148</v>
      </c>
      <c r="DF459" s="6">
        <f t="shared" si="180"/>
        <v>56</v>
      </c>
      <c r="DG459" s="6">
        <f t="shared" si="181"/>
        <v>354</v>
      </c>
      <c r="DH459" s="6">
        <f t="shared" si="182"/>
        <v>219</v>
      </c>
      <c r="DI459" s="6">
        <f t="shared" si="183"/>
        <v>139</v>
      </c>
      <c r="DJ459" s="6">
        <f t="shared" si="184"/>
        <v>24</v>
      </c>
      <c r="DK459" s="6">
        <f t="shared" si="185"/>
        <v>76</v>
      </c>
      <c r="DL459" s="6">
        <f t="shared" si="186"/>
        <v>0</v>
      </c>
      <c r="DM459" s="6">
        <f t="shared" si="187"/>
        <v>199</v>
      </c>
      <c r="DN459" s="6">
        <f t="shared" si="188"/>
        <v>69</v>
      </c>
      <c r="DO459" s="6">
        <f t="shared" si="189"/>
        <v>148</v>
      </c>
      <c r="DP459" s="6">
        <f t="shared" si="190"/>
        <v>53</v>
      </c>
      <c r="DQ459" s="6">
        <f t="shared" si="191"/>
        <v>167</v>
      </c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</row>
    <row r="460">
      <c r="B460" s="8" t="s">
        <v>17</v>
      </c>
      <c r="C460" s="31">
        <v>63.529411764705884</v>
      </c>
      <c r="D460" s="31">
        <v>0.0</v>
      </c>
      <c r="E460" s="31">
        <v>58.23529411764706</v>
      </c>
      <c r="F460" s="31">
        <v>67.76470588235294</v>
      </c>
      <c r="G460" s="31">
        <v>20.11764705882353</v>
      </c>
      <c r="H460" s="31">
        <v>0.0</v>
      </c>
      <c r="I460" s="31">
        <v>87.88235294117646</v>
      </c>
      <c r="J460" s="31">
        <v>5.294117647058823</v>
      </c>
      <c r="K460" s="31">
        <v>43.411764705882355</v>
      </c>
      <c r="L460" s="31">
        <v>0.0</v>
      </c>
      <c r="M460" s="31">
        <v>34.94117647058823</v>
      </c>
      <c r="N460" s="31">
        <v>58.23529411764706</v>
      </c>
      <c r="O460" s="31">
        <v>22.235294117647058</v>
      </c>
      <c r="P460" s="31">
        <v>70.94117647058823</v>
      </c>
      <c r="Q460" s="31">
        <v>3.176470588235294</v>
      </c>
      <c r="R460" s="31">
        <v>21.176470588235293</v>
      </c>
      <c r="S460" s="31">
        <v>0.0</v>
      </c>
      <c r="T460" s="31">
        <v>42.35294117647059</v>
      </c>
      <c r="U460" s="31">
        <v>79.41176470588235</v>
      </c>
      <c r="V460" s="31">
        <v>80.47058823529412</v>
      </c>
      <c r="W460" s="31">
        <v>0.0</v>
      </c>
      <c r="X460" s="31">
        <v>90.0</v>
      </c>
      <c r="Y460" s="31">
        <v>90.0</v>
      </c>
      <c r="Z460" s="31">
        <v>0.0</v>
      </c>
      <c r="AA460" s="31">
        <v>31.764705882352942</v>
      </c>
      <c r="AB460" s="31">
        <v>5.294117647058823</v>
      </c>
      <c r="AC460" s="31">
        <v>0.0</v>
      </c>
      <c r="AD460" s="31">
        <v>40.23529411764706</v>
      </c>
      <c r="AE460" s="31">
        <v>0.0</v>
      </c>
      <c r="AF460" s="31">
        <v>0.0</v>
      </c>
      <c r="AG460" s="31">
        <v>56.11764705882353</v>
      </c>
      <c r="AH460" s="31">
        <v>0.0</v>
      </c>
      <c r="AI460" s="31">
        <v>74.11764705882354</v>
      </c>
      <c r="AJ460" s="31">
        <v>19.058823529411764</v>
      </c>
      <c r="AK460" s="31">
        <v>2.1176470588235294</v>
      </c>
      <c r="AL460" s="31">
        <v>42.35294117647059</v>
      </c>
      <c r="AM460" s="31">
        <v>0.0</v>
      </c>
      <c r="AN460" s="31">
        <v>0.0</v>
      </c>
      <c r="AO460" s="31">
        <v>79.41176470588235</v>
      </c>
      <c r="AP460" s="31">
        <v>12.705882352941176</v>
      </c>
      <c r="AQ460" s="31">
        <v>2.1176470588235294</v>
      </c>
      <c r="AR460" s="31">
        <v>68.82352941176471</v>
      </c>
      <c r="AS460" s="31">
        <v>2.1176470588235294</v>
      </c>
      <c r="AT460" s="31">
        <v>2.1176470588235294</v>
      </c>
      <c r="AU460" s="31">
        <v>0.0</v>
      </c>
      <c r="AV460" s="31">
        <v>1.0588235294117647</v>
      </c>
      <c r="AW460" s="31">
        <v>1.0588235294117647</v>
      </c>
      <c r="AX460" s="31">
        <v>1.0588235294117647</v>
      </c>
      <c r="AY460" s="41">
        <v>10.588235294117647</v>
      </c>
      <c r="AZ460" s="41">
        <v>60.35294117647059</v>
      </c>
      <c r="BA460" s="41">
        <v>0.0</v>
      </c>
      <c r="BB460" s="41">
        <v>5.294117647058823</v>
      </c>
      <c r="BC460" s="41">
        <v>0.0</v>
      </c>
      <c r="BD460" s="41">
        <v>1.0588235294117647</v>
      </c>
      <c r="BE460" s="41">
        <v>26.470588235294116</v>
      </c>
      <c r="BF460" s="41">
        <v>0.0</v>
      </c>
      <c r="BG460" s="41">
        <v>66.70588235294117</v>
      </c>
      <c r="BH460" s="41">
        <v>7.411764705882353</v>
      </c>
      <c r="BI460" s="41">
        <v>1.0588235294117647</v>
      </c>
      <c r="BJ460" s="41">
        <v>1.0588235294117647</v>
      </c>
      <c r="BK460" s="31">
        <v>2.1176470588235294</v>
      </c>
      <c r="BL460" s="31">
        <v>10.588235294117647</v>
      </c>
      <c r="BM460" s="31">
        <v>26.470588235294116</v>
      </c>
      <c r="BN460" s="31">
        <v>15.882352941176471</v>
      </c>
      <c r="BO460" s="31">
        <v>5.294117647058823</v>
      </c>
      <c r="BP460" s="31">
        <v>6.352941176470588</v>
      </c>
      <c r="BQ460" s="31">
        <v>10.588235294117647</v>
      </c>
      <c r="BR460" s="31">
        <v>5.294117647058823</v>
      </c>
      <c r="BS460" s="31">
        <v>55.05882352941177</v>
      </c>
      <c r="BT460" s="31">
        <v>63.529411764705884</v>
      </c>
      <c r="BU460" s="31">
        <v>12.705882352941176</v>
      </c>
      <c r="BV460" s="31">
        <v>63.529411764705884</v>
      </c>
      <c r="BW460" s="31">
        <v>23.294117647058822</v>
      </c>
      <c r="BX460" s="31">
        <v>5.294117647058823</v>
      </c>
      <c r="BY460" s="31">
        <v>58.23529411764706</v>
      </c>
      <c r="BZ460" s="31">
        <v>33.88235294117647</v>
      </c>
      <c r="CA460" s="31">
        <v>58.23529411764706</v>
      </c>
      <c r="CB460" s="31">
        <v>0.0</v>
      </c>
      <c r="CC460" s="31">
        <v>0.0</v>
      </c>
      <c r="CD460" s="31">
        <v>15.882352941176471</v>
      </c>
      <c r="CE460" s="31">
        <v>52.94117647058823</v>
      </c>
      <c r="CF460" s="31">
        <v>56.11764705882353</v>
      </c>
      <c r="CG460" s="31">
        <v>23.294117647058822</v>
      </c>
      <c r="CH460" s="31">
        <v>47.64705882352941</v>
      </c>
      <c r="CI460" s="31">
        <v>0.0</v>
      </c>
      <c r="CJ460" s="31">
        <v>60.35294117647059</v>
      </c>
      <c r="CK460" s="31">
        <v>85.76470588235294</v>
      </c>
      <c r="CL460" s="31">
        <v>12.705882352941176</v>
      </c>
      <c r="CM460" s="31">
        <v>0.0</v>
      </c>
      <c r="CN460" s="31">
        <v>26.470588235294116</v>
      </c>
      <c r="CO460" s="31">
        <v>48.705882352941174</v>
      </c>
      <c r="CP460" s="31">
        <v>23.294117647058822</v>
      </c>
      <c r="CQ460" s="31">
        <v>4.235294117647059</v>
      </c>
      <c r="CR460" s="31">
        <v>19.058823529411764</v>
      </c>
      <c r="CV460" s="30">
        <f t="shared" si="170"/>
        <v>137.6470588</v>
      </c>
      <c r="CW460" s="30">
        <f t="shared" si="171"/>
        <v>144</v>
      </c>
      <c r="CX460" s="30">
        <f t="shared" si="172"/>
        <v>167.2941176</v>
      </c>
      <c r="CY460" s="30">
        <f t="shared" si="173"/>
        <v>173.6470588</v>
      </c>
      <c r="CZ460" s="30">
        <f t="shared" si="174"/>
        <v>42.35294118</v>
      </c>
      <c r="DA460" s="30">
        <f t="shared" si="175"/>
        <v>32.82352941</v>
      </c>
      <c r="DB460" s="30">
        <f t="shared" si="176"/>
        <v>5.294117647</v>
      </c>
      <c r="DC460" s="30">
        <f t="shared" si="177"/>
        <v>135.5294118</v>
      </c>
      <c r="DD460" s="30">
        <f t="shared" si="178"/>
        <v>235.0588235</v>
      </c>
      <c r="DE460" s="30">
        <f t="shared" si="179"/>
        <v>228.7058824</v>
      </c>
      <c r="DF460" s="30">
        <f t="shared" si="180"/>
        <v>97.41176471</v>
      </c>
      <c r="DG460" s="30">
        <f t="shared" si="181"/>
        <v>333.5294118</v>
      </c>
      <c r="DH460" s="30">
        <f t="shared" si="182"/>
        <v>63.52941176</v>
      </c>
      <c r="DI460" s="30">
        <f t="shared" si="183"/>
        <v>49.76470588</v>
      </c>
      <c r="DJ460" s="30">
        <f t="shared" si="184"/>
        <v>21.17647059</v>
      </c>
      <c r="DK460" s="30">
        <f t="shared" si="185"/>
        <v>23.29411765</v>
      </c>
      <c r="DL460" s="30">
        <f t="shared" si="186"/>
        <v>0</v>
      </c>
      <c r="DM460" s="30">
        <f t="shared" si="187"/>
        <v>258.3529412</v>
      </c>
      <c r="DN460" s="30">
        <f t="shared" si="188"/>
        <v>167.2941176</v>
      </c>
      <c r="DO460" s="30">
        <f t="shared" si="189"/>
        <v>228.7058824</v>
      </c>
      <c r="DP460" s="30">
        <f t="shared" si="190"/>
        <v>366.3529412</v>
      </c>
      <c r="DQ460" s="30">
        <f t="shared" si="191"/>
        <v>59.29411765</v>
      </c>
      <c r="DR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</row>
    <row r="461">
      <c r="B461" s="8" t="s">
        <v>18</v>
      </c>
      <c r="C461" s="6">
        <v>58.0</v>
      </c>
      <c r="D461" s="6">
        <v>20.0</v>
      </c>
      <c r="E461" s="6">
        <v>79.0</v>
      </c>
      <c r="F461" s="6">
        <v>1.0</v>
      </c>
      <c r="G461" s="6">
        <v>1.0</v>
      </c>
      <c r="H461" s="6">
        <v>1.0</v>
      </c>
      <c r="I461" s="6">
        <v>71.0</v>
      </c>
      <c r="J461" s="6">
        <v>1.0</v>
      </c>
      <c r="K461" s="6">
        <v>2.0</v>
      </c>
      <c r="L461" s="6">
        <v>2.0</v>
      </c>
      <c r="M461" s="6">
        <v>2.0</v>
      </c>
      <c r="N461" s="6">
        <v>81.0</v>
      </c>
      <c r="O461" s="6">
        <v>2.0</v>
      </c>
      <c r="P461" s="6">
        <v>16.0</v>
      </c>
      <c r="Q461" s="6">
        <v>13.0</v>
      </c>
      <c r="R461" s="6">
        <v>1.0</v>
      </c>
      <c r="S461" s="6">
        <v>1.0</v>
      </c>
      <c r="T461" s="6">
        <v>1.0</v>
      </c>
      <c r="U461" s="6">
        <v>3.0</v>
      </c>
      <c r="V461" s="6">
        <v>2.0</v>
      </c>
      <c r="W461" s="6">
        <v>2.0</v>
      </c>
      <c r="X461" s="6">
        <v>81.0</v>
      </c>
      <c r="Y461" s="6">
        <v>2.0</v>
      </c>
      <c r="Z461" s="6">
        <v>2.0</v>
      </c>
      <c r="AA461" s="6">
        <v>2.0</v>
      </c>
      <c r="AB461" s="6">
        <v>62.0</v>
      </c>
      <c r="AC461" s="6">
        <v>77.0</v>
      </c>
      <c r="AD461" s="6">
        <v>1.0</v>
      </c>
      <c r="AE461" s="6">
        <v>2.0</v>
      </c>
      <c r="AF461" s="6">
        <v>1.0</v>
      </c>
      <c r="AG461" s="6">
        <v>5.0</v>
      </c>
      <c r="AH461" s="6">
        <v>1.0</v>
      </c>
      <c r="AI461" s="6">
        <v>70.0</v>
      </c>
      <c r="AJ461" s="6">
        <v>64.0</v>
      </c>
      <c r="AK461" s="6">
        <v>85.0</v>
      </c>
      <c r="AL461" s="6">
        <v>85.0</v>
      </c>
      <c r="AM461" s="6">
        <v>2.0</v>
      </c>
      <c r="AN461" s="6">
        <v>2.0</v>
      </c>
      <c r="AO461" s="6">
        <v>81.0</v>
      </c>
      <c r="AP461" s="6">
        <v>1.0</v>
      </c>
      <c r="AQ461" s="6">
        <v>2.0</v>
      </c>
      <c r="AR461" s="6">
        <v>85.0</v>
      </c>
      <c r="AS461" s="6">
        <v>1.0</v>
      </c>
      <c r="AT461" s="6">
        <v>2.0</v>
      </c>
      <c r="AU461" s="6">
        <v>73.0</v>
      </c>
      <c r="AV461" s="6">
        <v>2.0</v>
      </c>
      <c r="AW461" s="6">
        <v>2.0</v>
      </c>
      <c r="AX461" s="6">
        <v>2.0</v>
      </c>
      <c r="AY461" s="6">
        <v>2.0</v>
      </c>
      <c r="AZ461" s="6">
        <v>27.0</v>
      </c>
      <c r="BA461" s="6">
        <v>2.0</v>
      </c>
      <c r="BB461" s="6">
        <v>1.0</v>
      </c>
      <c r="BC461" s="6">
        <v>2.0</v>
      </c>
      <c r="BD461" s="6">
        <v>65.0</v>
      </c>
      <c r="BE461" s="6">
        <v>2.0</v>
      </c>
      <c r="BF461" s="6">
        <v>3.0</v>
      </c>
      <c r="BG461" s="6">
        <v>71.0</v>
      </c>
      <c r="BH461" s="6">
        <v>2.0</v>
      </c>
      <c r="BI461" s="6">
        <v>3.0</v>
      </c>
      <c r="BJ461" s="6">
        <v>3.0</v>
      </c>
      <c r="BK461" s="6">
        <v>1.0</v>
      </c>
      <c r="BL461" s="6">
        <v>81.0</v>
      </c>
      <c r="BM461" s="6">
        <v>2.0</v>
      </c>
      <c r="BN461" s="6">
        <v>81.0</v>
      </c>
      <c r="BO461" s="6">
        <v>2.0</v>
      </c>
      <c r="BP461" s="6">
        <v>2.0</v>
      </c>
      <c r="BQ461" s="6">
        <v>62.0</v>
      </c>
      <c r="BR461" s="6">
        <v>1.0</v>
      </c>
      <c r="BS461" s="6">
        <v>1.0</v>
      </c>
      <c r="BT461" s="6">
        <v>46.0</v>
      </c>
      <c r="BU461" s="6">
        <v>70.0</v>
      </c>
      <c r="BV461" s="6">
        <v>1.0</v>
      </c>
      <c r="BW461" s="6">
        <v>84.0</v>
      </c>
      <c r="BX461" s="6">
        <v>2.0</v>
      </c>
      <c r="BY461" s="6">
        <v>1.0</v>
      </c>
      <c r="BZ461" s="6">
        <v>23.0</v>
      </c>
      <c r="CA461" s="6">
        <v>85.0</v>
      </c>
      <c r="CB461" s="6">
        <v>85.0</v>
      </c>
      <c r="CC461" s="6">
        <v>2.0</v>
      </c>
      <c r="CD461" s="6">
        <v>2.0</v>
      </c>
      <c r="CE461" s="6">
        <v>83.0</v>
      </c>
      <c r="CF461" s="6">
        <v>85.0</v>
      </c>
      <c r="CG461" s="6">
        <v>85.0</v>
      </c>
      <c r="CH461" s="6">
        <v>2.0</v>
      </c>
      <c r="CI461" s="6">
        <v>3.0</v>
      </c>
      <c r="CJ461" s="6">
        <v>85.0</v>
      </c>
      <c r="CK461" s="6">
        <v>84.0</v>
      </c>
      <c r="CL461" s="6">
        <v>4.0</v>
      </c>
      <c r="CM461" s="6">
        <v>1.0</v>
      </c>
      <c r="CN461" s="6">
        <v>66.0</v>
      </c>
      <c r="CO461" s="6">
        <v>66.0</v>
      </c>
      <c r="CP461" s="6">
        <v>2.0</v>
      </c>
      <c r="CQ461" s="6">
        <v>3.0</v>
      </c>
      <c r="CR461" s="6">
        <v>2.0</v>
      </c>
      <c r="CV461" s="6">
        <f t="shared" si="170"/>
        <v>153</v>
      </c>
      <c r="CW461" s="6">
        <f t="shared" si="171"/>
        <v>87</v>
      </c>
      <c r="CX461" s="6">
        <f t="shared" si="172"/>
        <v>232</v>
      </c>
      <c r="CY461" s="6">
        <f t="shared" si="173"/>
        <v>113</v>
      </c>
      <c r="CZ461" s="6">
        <f t="shared" si="174"/>
        <v>145</v>
      </c>
      <c r="DA461" s="6">
        <f t="shared" si="175"/>
        <v>310</v>
      </c>
      <c r="DB461" s="6">
        <f t="shared" si="176"/>
        <v>10</v>
      </c>
      <c r="DC461" s="6">
        <f t="shared" si="177"/>
        <v>168</v>
      </c>
      <c r="DD461" s="6">
        <f t="shared" si="178"/>
        <v>167</v>
      </c>
      <c r="DE461" s="6">
        <f t="shared" si="179"/>
        <v>5</v>
      </c>
      <c r="DF461" s="6">
        <f t="shared" si="180"/>
        <v>71</v>
      </c>
      <c r="DG461" s="6">
        <f t="shared" si="181"/>
        <v>350</v>
      </c>
      <c r="DH461" s="6">
        <f t="shared" si="182"/>
        <v>146</v>
      </c>
      <c r="DI461" s="6">
        <f t="shared" si="183"/>
        <v>88</v>
      </c>
      <c r="DJ461" s="6">
        <f t="shared" si="184"/>
        <v>91</v>
      </c>
      <c r="DK461" s="6">
        <f t="shared" si="185"/>
        <v>145</v>
      </c>
      <c r="DL461" s="6">
        <f t="shared" si="186"/>
        <v>5</v>
      </c>
      <c r="DM461" s="6">
        <f t="shared" si="187"/>
        <v>252</v>
      </c>
      <c r="DN461" s="6">
        <f t="shared" si="188"/>
        <v>152</v>
      </c>
      <c r="DO461" s="6">
        <f t="shared" si="189"/>
        <v>5</v>
      </c>
      <c r="DP461" s="6">
        <f t="shared" si="190"/>
        <v>50</v>
      </c>
      <c r="DQ461" s="6">
        <f t="shared" si="191"/>
        <v>51</v>
      </c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</row>
    <row r="462">
      <c r="B462" s="8" t="s">
        <v>19</v>
      </c>
      <c r="C462" s="6">
        <v>71.0</v>
      </c>
      <c r="D462" s="6">
        <v>43.0</v>
      </c>
      <c r="E462" s="6">
        <v>83.0</v>
      </c>
      <c r="F462" s="6">
        <v>44.0</v>
      </c>
      <c r="G462" s="6">
        <v>4.0</v>
      </c>
      <c r="H462" s="6">
        <v>16.0</v>
      </c>
      <c r="I462" s="6">
        <v>82.0</v>
      </c>
      <c r="J462" s="6">
        <v>5.0</v>
      </c>
      <c r="K462" s="6">
        <v>81.0</v>
      </c>
      <c r="L462" s="6">
        <v>5.0</v>
      </c>
      <c r="M462" s="6">
        <v>3.0</v>
      </c>
      <c r="N462" s="6">
        <v>82.0</v>
      </c>
      <c r="O462" s="6">
        <v>10.0</v>
      </c>
      <c r="P462" s="6">
        <v>60.0</v>
      </c>
      <c r="Q462" s="6">
        <v>6.0</v>
      </c>
      <c r="R462" s="6">
        <v>80.0</v>
      </c>
      <c r="S462" s="6">
        <v>85.0</v>
      </c>
      <c r="T462" s="6">
        <v>86.0</v>
      </c>
      <c r="U462" s="6">
        <v>86.0</v>
      </c>
      <c r="V462" s="6">
        <v>84.0</v>
      </c>
      <c r="W462" s="6">
        <v>67.0</v>
      </c>
      <c r="X462" s="6">
        <v>2.0</v>
      </c>
      <c r="Y462" s="6">
        <v>5.0</v>
      </c>
      <c r="Z462" s="6">
        <v>3.0</v>
      </c>
      <c r="AA462" s="6">
        <v>3.0</v>
      </c>
      <c r="AB462" s="6">
        <v>53.0</v>
      </c>
      <c r="AC462" s="6">
        <v>2.0</v>
      </c>
      <c r="AD462" s="6">
        <v>85.0</v>
      </c>
      <c r="AE462" s="6">
        <v>3.0</v>
      </c>
      <c r="AF462" s="6">
        <v>3.0</v>
      </c>
      <c r="AG462" s="6">
        <v>80.0</v>
      </c>
      <c r="AH462" s="6">
        <v>1.0</v>
      </c>
      <c r="AI462" s="6">
        <v>1.0</v>
      </c>
      <c r="AJ462" s="6">
        <v>1.0</v>
      </c>
      <c r="AK462" s="6">
        <v>84.0</v>
      </c>
      <c r="AL462" s="6">
        <v>81.0</v>
      </c>
      <c r="AM462" s="6">
        <v>4.0</v>
      </c>
      <c r="AN462" s="6">
        <v>3.0</v>
      </c>
      <c r="AO462" s="6">
        <v>83.0</v>
      </c>
      <c r="AP462" s="6">
        <v>85.0</v>
      </c>
      <c r="AQ462" s="6">
        <v>42.0</v>
      </c>
      <c r="AR462" s="6">
        <v>44.0</v>
      </c>
      <c r="AS462" s="6">
        <v>84.0</v>
      </c>
      <c r="AT462" s="6">
        <v>67.0</v>
      </c>
      <c r="AU462" s="6">
        <v>12.0</v>
      </c>
      <c r="AV462" s="6">
        <v>3.0</v>
      </c>
      <c r="AW462" s="6">
        <v>82.0</v>
      </c>
      <c r="AX462" s="6">
        <v>4.0</v>
      </c>
      <c r="AY462" s="6">
        <v>5.0</v>
      </c>
      <c r="AZ462" s="6">
        <v>85.0</v>
      </c>
      <c r="BA462" s="6">
        <v>25.0</v>
      </c>
      <c r="BB462" s="6">
        <v>85.0</v>
      </c>
      <c r="BC462" s="6">
        <v>5.0</v>
      </c>
      <c r="BD462" s="6">
        <v>64.0</v>
      </c>
      <c r="BE462" s="6">
        <v>85.0</v>
      </c>
      <c r="BF462" s="6">
        <v>3.0</v>
      </c>
      <c r="BG462" s="6">
        <v>80.0</v>
      </c>
      <c r="BH462" s="6">
        <v>85.0</v>
      </c>
      <c r="BI462" s="6">
        <v>2.0</v>
      </c>
      <c r="BJ462" s="6">
        <v>80.0</v>
      </c>
      <c r="BK462" s="6">
        <v>3.0</v>
      </c>
      <c r="BL462" s="6">
        <v>76.0</v>
      </c>
      <c r="BM462" s="6">
        <v>2.0</v>
      </c>
      <c r="BN462" s="6">
        <v>4.0</v>
      </c>
      <c r="BO462" s="6">
        <v>5.0</v>
      </c>
      <c r="BP462" s="6">
        <v>2.0</v>
      </c>
      <c r="BQ462" s="6">
        <v>2.0</v>
      </c>
      <c r="BR462" s="6">
        <v>3.0</v>
      </c>
      <c r="BS462" s="6">
        <v>79.0</v>
      </c>
      <c r="BT462" s="6">
        <v>3.0</v>
      </c>
      <c r="BU462" s="6">
        <v>3.0</v>
      </c>
      <c r="BV462" s="6">
        <v>84.0</v>
      </c>
      <c r="BW462" s="6">
        <v>50.0</v>
      </c>
      <c r="BX462" s="6">
        <v>2.0</v>
      </c>
      <c r="BY462" s="6">
        <v>67.0</v>
      </c>
      <c r="BZ462" s="6">
        <v>3.0</v>
      </c>
      <c r="CA462" s="6">
        <v>29.0</v>
      </c>
      <c r="CB462" s="6">
        <v>84.0</v>
      </c>
      <c r="CC462" s="6">
        <v>3.0</v>
      </c>
      <c r="CD462" s="6">
        <v>4.0</v>
      </c>
      <c r="CE462" s="6">
        <v>75.0</v>
      </c>
      <c r="CF462" s="6">
        <v>88.0</v>
      </c>
      <c r="CG462" s="6">
        <v>86.0</v>
      </c>
      <c r="CH462" s="6">
        <v>14.0</v>
      </c>
      <c r="CI462" s="6">
        <v>84.0</v>
      </c>
      <c r="CJ462" s="6">
        <v>71.0</v>
      </c>
      <c r="CK462" s="6">
        <v>6.0</v>
      </c>
      <c r="CL462" s="6">
        <v>41.0</v>
      </c>
      <c r="CM462" s="6">
        <v>5.0</v>
      </c>
      <c r="CN462" s="6">
        <v>86.0</v>
      </c>
      <c r="CO462" s="6">
        <v>86.0</v>
      </c>
      <c r="CP462" s="6">
        <v>86.0</v>
      </c>
      <c r="CQ462" s="6">
        <v>85.0</v>
      </c>
      <c r="CR462" s="6">
        <v>1.0</v>
      </c>
      <c r="CV462" s="6">
        <f t="shared" si="170"/>
        <v>258</v>
      </c>
      <c r="CW462" s="6">
        <f t="shared" si="171"/>
        <v>170</v>
      </c>
      <c r="CX462" s="6">
        <f t="shared" si="172"/>
        <v>239</v>
      </c>
      <c r="CY462" s="6">
        <f t="shared" si="173"/>
        <v>193</v>
      </c>
      <c r="CZ462" s="6">
        <f t="shared" si="174"/>
        <v>131</v>
      </c>
      <c r="DA462" s="6">
        <f t="shared" si="175"/>
        <v>182</v>
      </c>
      <c r="DB462" s="6">
        <f t="shared" si="176"/>
        <v>163</v>
      </c>
      <c r="DC462" s="6">
        <f t="shared" si="177"/>
        <v>174</v>
      </c>
      <c r="DD462" s="6">
        <f t="shared" si="178"/>
        <v>63</v>
      </c>
      <c r="DE462" s="6">
        <f t="shared" si="179"/>
        <v>156</v>
      </c>
      <c r="DF462" s="6">
        <f t="shared" si="180"/>
        <v>229</v>
      </c>
      <c r="DG462" s="6">
        <f t="shared" si="181"/>
        <v>328</v>
      </c>
      <c r="DH462" s="6">
        <f t="shared" si="182"/>
        <v>211</v>
      </c>
      <c r="DI462" s="6">
        <f t="shared" si="183"/>
        <v>208</v>
      </c>
      <c r="DJ462" s="6">
        <f t="shared" si="184"/>
        <v>309</v>
      </c>
      <c r="DK462" s="6">
        <f t="shared" si="185"/>
        <v>48</v>
      </c>
      <c r="DL462" s="6">
        <f t="shared" si="186"/>
        <v>24</v>
      </c>
      <c r="DM462" s="6">
        <f t="shared" si="187"/>
        <v>149</v>
      </c>
      <c r="DN462" s="6">
        <f t="shared" si="188"/>
        <v>165</v>
      </c>
      <c r="DO462" s="6">
        <f t="shared" si="189"/>
        <v>156</v>
      </c>
      <c r="DP462" s="6">
        <f t="shared" si="190"/>
        <v>428</v>
      </c>
      <c r="DQ462" s="6">
        <f t="shared" si="191"/>
        <v>196</v>
      </c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</row>
    <row r="463">
      <c r="B463" s="8" t="s">
        <v>20</v>
      </c>
      <c r="C463" s="30">
        <v>90.0</v>
      </c>
      <c r="D463" s="30">
        <v>42.54545454545455</v>
      </c>
      <c r="E463" s="30">
        <v>76.9090909090909</v>
      </c>
      <c r="F463" s="30">
        <v>26.181818181818183</v>
      </c>
      <c r="G463" s="30">
        <v>24.545454545454547</v>
      </c>
      <c r="H463" s="30">
        <v>14.727272727272727</v>
      </c>
      <c r="I463" s="30">
        <v>86.72727272727273</v>
      </c>
      <c r="J463" s="30">
        <v>36.0</v>
      </c>
      <c r="K463" s="30">
        <v>73.63636363636364</v>
      </c>
      <c r="L463" s="30">
        <v>0.0</v>
      </c>
      <c r="M463" s="30">
        <v>0.0</v>
      </c>
      <c r="N463" s="30">
        <v>63.81818181818182</v>
      </c>
      <c r="O463" s="30">
        <v>16.363636363636363</v>
      </c>
      <c r="P463" s="30">
        <v>86.72727272727273</v>
      </c>
      <c r="Q463" s="30">
        <v>67.0909090909091</v>
      </c>
      <c r="R463" s="30">
        <v>9.818181818181818</v>
      </c>
      <c r="S463" s="30">
        <v>16.363636363636363</v>
      </c>
      <c r="T463" s="30">
        <v>52.36363636363637</v>
      </c>
      <c r="U463" s="30">
        <v>57.27272727272727</v>
      </c>
      <c r="V463" s="30">
        <v>44.18181818181818</v>
      </c>
      <c r="W463" s="30">
        <v>4.909090909090909</v>
      </c>
      <c r="X463" s="30">
        <v>90.0</v>
      </c>
      <c r="Y463" s="30">
        <v>45.81818181818182</v>
      </c>
      <c r="Z463" s="30">
        <v>4.909090909090909</v>
      </c>
      <c r="AA463" s="30">
        <v>3.272727272727273</v>
      </c>
      <c r="AB463" s="30">
        <v>62.18181818181818</v>
      </c>
      <c r="AC463" s="30">
        <v>36.0</v>
      </c>
      <c r="AD463" s="30">
        <v>16.363636363636363</v>
      </c>
      <c r="AE463" s="30">
        <v>0.0</v>
      </c>
      <c r="AF463" s="30">
        <v>3.272727272727273</v>
      </c>
      <c r="AG463" s="30">
        <v>45.81818181818182</v>
      </c>
      <c r="AH463" s="30">
        <v>0.0</v>
      </c>
      <c r="AI463" s="30">
        <v>85.0909090909091</v>
      </c>
      <c r="AJ463" s="30">
        <v>68.72727272727273</v>
      </c>
      <c r="AK463" s="30">
        <v>76.9090909090909</v>
      </c>
      <c r="AL463" s="30">
        <v>81.81818181818181</v>
      </c>
      <c r="AM463" s="30">
        <v>73.63636363636364</v>
      </c>
      <c r="AN463" s="30">
        <v>6.545454545454546</v>
      </c>
      <c r="AO463" s="30">
        <v>67.0909090909091</v>
      </c>
      <c r="AP463" s="30">
        <v>49.09090909090909</v>
      </c>
      <c r="AQ463" s="30">
        <v>57.27272727272727</v>
      </c>
      <c r="AR463" s="30">
        <v>65.45454545454545</v>
      </c>
      <c r="AS463" s="30">
        <v>4.909090909090909</v>
      </c>
      <c r="AT463" s="30">
        <v>4.909090909090909</v>
      </c>
      <c r="AU463" s="30">
        <v>11.454545454545455</v>
      </c>
      <c r="AV463" s="30">
        <v>4.909090909090909</v>
      </c>
      <c r="AW463" s="30">
        <v>62.18181818181818</v>
      </c>
      <c r="AX463" s="30">
        <v>13.090909090909092</v>
      </c>
      <c r="AY463" s="30">
        <v>4.909090909090909</v>
      </c>
      <c r="AZ463" s="30">
        <v>83.45454545454545</v>
      </c>
      <c r="BA463" s="30">
        <v>58.90909090909091</v>
      </c>
      <c r="BB463" s="30">
        <v>18.0</v>
      </c>
      <c r="BC463" s="30">
        <v>1.6363636363636365</v>
      </c>
      <c r="BD463" s="30">
        <v>42.54545454545455</v>
      </c>
      <c r="BE463" s="30">
        <v>9.818181818181818</v>
      </c>
      <c r="BF463" s="30">
        <v>4.909090909090909</v>
      </c>
      <c r="BG463" s="30">
        <v>75.27272727272727</v>
      </c>
      <c r="BH463" s="30">
        <v>9.818181818181818</v>
      </c>
      <c r="BI463" s="30">
        <v>18.0</v>
      </c>
      <c r="BJ463" s="30">
        <v>0.0</v>
      </c>
      <c r="BK463" s="30">
        <v>4.909090909090909</v>
      </c>
      <c r="BL463" s="30">
        <v>40.90909090909091</v>
      </c>
      <c r="BM463" s="30">
        <v>58.90909090909091</v>
      </c>
      <c r="BN463" s="30">
        <v>72.0</v>
      </c>
      <c r="BO463" s="30">
        <v>8.181818181818182</v>
      </c>
      <c r="BP463" s="30">
        <v>13.090909090909092</v>
      </c>
      <c r="BQ463" s="30">
        <v>39.27272727272727</v>
      </c>
      <c r="BR463" s="30">
        <v>3.272727272727273</v>
      </c>
      <c r="BS463" s="30">
        <v>29.454545454545453</v>
      </c>
      <c r="BT463" s="30">
        <v>40.90909090909091</v>
      </c>
      <c r="BU463" s="30">
        <v>16.363636363636363</v>
      </c>
      <c r="BV463" s="30">
        <v>14.727272727272727</v>
      </c>
      <c r="BW463" s="30">
        <v>60.54545454545455</v>
      </c>
      <c r="BX463" s="30">
        <v>19.636363636363637</v>
      </c>
      <c r="BY463" s="30">
        <v>80.18181818181819</v>
      </c>
      <c r="BZ463" s="30">
        <v>18.0</v>
      </c>
      <c r="CA463" s="30">
        <v>8.181818181818182</v>
      </c>
      <c r="CB463" s="30">
        <v>40.90909090909091</v>
      </c>
      <c r="CC463" s="30">
        <v>4.909090909090909</v>
      </c>
      <c r="CD463" s="30">
        <v>4.909090909090909</v>
      </c>
      <c r="CE463" s="30">
        <v>81.81818181818181</v>
      </c>
      <c r="CF463" s="30">
        <v>72.0</v>
      </c>
      <c r="CG463" s="30">
        <v>81.81818181818181</v>
      </c>
      <c r="CH463" s="30">
        <v>3.272727272727273</v>
      </c>
      <c r="CI463" s="30">
        <v>6.545454545454546</v>
      </c>
      <c r="CJ463" s="30">
        <v>76.9090909090909</v>
      </c>
      <c r="CK463" s="30">
        <v>44.18181818181818</v>
      </c>
      <c r="CL463" s="30">
        <v>73.63636363636364</v>
      </c>
      <c r="CM463" s="30">
        <v>4.909090909090909</v>
      </c>
      <c r="CN463" s="30">
        <v>6.545454545454546</v>
      </c>
      <c r="CO463" s="30">
        <v>40.90909090909091</v>
      </c>
      <c r="CP463" s="30">
        <v>4.909090909090909</v>
      </c>
      <c r="CQ463" s="30">
        <v>8.181818181818182</v>
      </c>
      <c r="CR463" s="30">
        <v>21.272727272727273</v>
      </c>
      <c r="CV463" s="30">
        <f t="shared" si="170"/>
        <v>261.8181818</v>
      </c>
      <c r="CW463" s="30">
        <f t="shared" si="171"/>
        <v>158.7272727</v>
      </c>
      <c r="CX463" s="30">
        <f t="shared" si="172"/>
        <v>181.6363636</v>
      </c>
      <c r="CY463" s="30">
        <f t="shared" si="173"/>
        <v>121.0909091</v>
      </c>
      <c r="CZ463" s="30">
        <f t="shared" si="174"/>
        <v>162</v>
      </c>
      <c r="DA463" s="30">
        <f t="shared" si="175"/>
        <v>292.9090909</v>
      </c>
      <c r="DB463" s="30">
        <f t="shared" si="176"/>
        <v>24.54545455</v>
      </c>
      <c r="DC463" s="30">
        <f t="shared" si="177"/>
        <v>144</v>
      </c>
      <c r="DD463" s="30">
        <f t="shared" si="178"/>
        <v>261.8181818</v>
      </c>
      <c r="DE463" s="30">
        <f t="shared" si="179"/>
        <v>170.1818182</v>
      </c>
      <c r="DF463" s="30">
        <f t="shared" si="180"/>
        <v>104.7272727</v>
      </c>
      <c r="DG463" s="30">
        <f t="shared" si="181"/>
        <v>420.5454545</v>
      </c>
      <c r="DH463" s="30">
        <f t="shared" si="182"/>
        <v>171.8181818</v>
      </c>
      <c r="DI463" s="30">
        <f t="shared" si="183"/>
        <v>157.0909091</v>
      </c>
      <c r="DJ463" s="30">
        <f t="shared" si="184"/>
        <v>98.18181818</v>
      </c>
      <c r="DK463" s="30">
        <f t="shared" si="185"/>
        <v>155.4545455</v>
      </c>
      <c r="DL463" s="30">
        <f t="shared" si="186"/>
        <v>24.54545455</v>
      </c>
      <c r="DM463" s="30">
        <f t="shared" si="187"/>
        <v>343.6363636</v>
      </c>
      <c r="DN463" s="30">
        <f t="shared" si="188"/>
        <v>153.8181818</v>
      </c>
      <c r="DO463" s="30">
        <f t="shared" si="189"/>
        <v>170.1818182</v>
      </c>
      <c r="DP463" s="30">
        <f t="shared" si="190"/>
        <v>217.6363636</v>
      </c>
      <c r="DQ463" s="30">
        <f t="shared" si="191"/>
        <v>292.9090909</v>
      </c>
    </row>
    <row r="464">
      <c r="B464" s="8" t="s">
        <v>21</v>
      </c>
      <c r="C464" s="30">
        <v>0.0</v>
      </c>
      <c r="D464" s="30">
        <v>0.0</v>
      </c>
      <c r="E464" s="30">
        <v>24.545454545454547</v>
      </c>
      <c r="F464" s="30">
        <v>0.0</v>
      </c>
      <c r="G464" s="30">
        <v>0.0</v>
      </c>
      <c r="H464" s="30">
        <v>0.0</v>
      </c>
      <c r="I464" s="30">
        <v>90.0</v>
      </c>
      <c r="J464" s="30">
        <v>0.0</v>
      </c>
      <c r="K464" s="30">
        <v>0.0</v>
      </c>
      <c r="L464" s="30">
        <v>0.0</v>
      </c>
      <c r="M464" s="30">
        <v>0.0</v>
      </c>
      <c r="N464" s="30">
        <v>0.0</v>
      </c>
      <c r="O464" s="30">
        <v>0.0</v>
      </c>
      <c r="P464" s="30">
        <v>90.0</v>
      </c>
      <c r="Q464" s="30">
        <v>0.0</v>
      </c>
      <c r="R464" s="30">
        <v>0.0</v>
      </c>
      <c r="S464" s="30">
        <v>0.0</v>
      </c>
      <c r="T464" s="30">
        <v>0.0</v>
      </c>
      <c r="U464" s="30">
        <v>13.090909090909092</v>
      </c>
      <c r="V464" s="30">
        <v>52.36363636363637</v>
      </c>
      <c r="W464" s="30">
        <v>0.0</v>
      </c>
      <c r="X464" s="30">
        <v>44.18181818181818</v>
      </c>
      <c r="Y464" s="30">
        <v>63.81818181818182</v>
      </c>
      <c r="Z464" s="30">
        <v>0.0</v>
      </c>
      <c r="AA464" s="30">
        <v>0.0</v>
      </c>
      <c r="AB464" s="30">
        <v>58.90909090909091</v>
      </c>
      <c r="AC464" s="30">
        <v>68.72727272727273</v>
      </c>
      <c r="AD464" s="30">
        <v>0.0</v>
      </c>
      <c r="AE464" s="30">
        <v>0.0</v>
      </c>
      <c r="AF464" s="30">
        <v>0.0</v>
      </c>
      <c r="AG464" s="30">
        <v>0.0</v>
      </c>
      <c r="AH464" s="30">
        <v>0.0</v>
      </c>
      <c r="AI464" s="30">
        <v>0.0</v>
      </c>
      <c r="AJ464" s="30">
        <v>13.090909090909092</v>
      </c>
      <c r="AK464" s="30">
        <v>90.0</v>
      </c>
      <c r="AL464" s="30">
        <v>16.363636363636363</v>
      </c>
      <c r="AM464" s="30">
        <v>11.454545454545455</v>
      </c>
      <c r="AN464" s="30">
        <v>0.0</v>
      </c>
      <c r="AO464" s="30">
        <v>0.0</v>
      </c>
      <c r="AP464" s="30">
        <v>0.0</v>
      </c>
      <c r="AQ464" s="30">
        <v>0.0</v>
      </c>
      <c r="AR464" s="30">
        <v>24.545454545454547</v>
      </c>
      <c r="AS464" s="30">
        <v>0.0</v>
      </c>
      <c r="AT464" s="30">
        <v>16.363636363636363</v>
      </c>
      <c r="AU464" s="30">
        <v>9.818181818181818</v>
      </c>
      <c r="AV464" s="30">
        <v>0.0</v>
      </c>
      <c r="AW464" s="30">
        <v>0.0</v>
      </c>
      <c r="AX464" s="30">
        <v>0.0</v>
      </c>
      <c r="AY464" s="30">
        <v>0.0</v>
      </c>
      <c r="AZ464" s="30">
        <v>57.27272727272727</v>
      </c>
      <c r="BA464" s="30">
        <v>73.63636363636364</v>
      </c>
      <c r="BB464" s="30">
        <v>0.0</v>
      </c>
      <c r="BC464" s="30">
        <v>0.0</v>
      </c>
      <c r="BD464" s="30">
        <v>0.0</v>
      </c>
      <c r="BE464" s="30">
        <v>0.0</v>
      </c>
      <c r="BF464" s="30">
        <v>0.0</v>
      </c>
      <c r="BG464" s="30">
        <v>27.818181818181817</v>
      </c>
      <c r="BH464" s="30">
        <v>0.0</v>
      </c>
      <c r="BI464" s="30">
        <v>0.0</v>
      </c>
      <c r="BJ464" s="30">
        <v>44.18181818181818</v>
      </c>
      <c r="BK464" s="30">
        <v>0.0</v>
      </c>
      <c r="BL464" s="30">
        <v>31.09090909090909</v>
      </c>
      <c r="BM464" s="30">
        <v>57.27272727272727</v>
      </c>
      <c r="BN464" s="30">
        <v>19.636363636363637</v>
      </c>
      <c r="BO464" s="30">
        <v>0.0</v>
      </c>
      <c r="BP464" s="30">
        <v>0.0</v>
      </c>
      <c r="BQ464" s="30">
        <v>32.72727272727273</v>
      </c>
      <c r="BR464" s="30">
        <v>0.0</v>
      </c>
      <c r="BS464" s="30">
        <v>0.0</v>
      </c>
      <c r="BT464" s="30">
        <v>24.545454545454547</v>
      </c>
      <c r="BU464" s="30">
        <v>0.0</v>
      </c>
      <c r="BV464" s="30">
        <v>54.0</v>
      </c>
      <c r="BW464" s="30">
        <v>40.90909090909091</v>
      </c>
      <c r="BX464" s="30">
        <v>0.0</v>
      </c>
      <c r="BY464" s="30">
        <v>73.63636363636364</v>
      </c>
      <c r="BZ464" s="30">
        <v>0.0</v>
      </c>
      <c r="CA464" s="30">
        <v>58.90909090909091</v>
      </c>
      <c r="CB464" s="30">
        <v>0.0</v>
      </c>
      <c r="CC464" s="30">
        <v>0.0</v>
      </c>
      <c r="CD464" s="30">
        <v>40.90909090909091</v>
      </c>
      <c r="CE464" s="30">
        <v>72.0</v>
      </c>
      <c r="CF464" s="30">
        <v>70.36363636363636</v>
      </c>
      <c r="CG464" s="30">
        <v>0.0</v>
      </c>
      <c r="CH464" s="30">
        <v>22.90909090909091</v>
      </c>
      <c r="CI464" s="30">
        <v>0.0</v>
      </c>
      <c r="CJ464" s="30">
        <v>42.54545454545455</v>
      </c>
      <c r="CK464" s="30">
        <v>0.0</v>
      </c>
      <c r="CL464" s="30">
        <v>58.90909090909091</v>
      </c>
      <c r="CM464" s="30">
        <v>0.0</v>
      </c>
      <c r="CN464" s="30">
        <v>0.0</v>
      </c>
      <c r="CO464" s="30">
        <v>18.0</v>
      </c>
      <c r="CP464" s="30">
        <v>0.0</v>
      </c>
      <c r="CQ464" s="30">
        <v>0.0</v>
      </c>
      <c r="CR464" s="30">
        <v>0.0</v>
      </c>
      <c r="CV464" s="30">
        <f t="shared" si="170"/>
        <v>37.63636364</v>
      </c>
      <c r="CW464" s="30">
        <f t="shared" si="171"/>
        <v>94.90909091</v>
      </c>
      <c r="CX464" s="30">
        <f t="shared" si="172"/>
        <v>60.54545455</v>
      </c>
      <c r="CY464" s="30">
        <f t="shared" si="173"/>
        <v>116.1818182</v>
      </c>
      <c r="CZ464" s="30">
        <f t="shared" si="174"/>
        <v>147.2727273</v>
      </c>
      <c r="DA464" s="30">
        <f t="shared" si="175"/>
        <v>121.0909091</v>
      </c>
      <c r="DB464" s="30">
        <f t="shared" si="176"/>
        <v>16.36363636</v>
      </c>
      <c r="DC464" s="30">
        <f t="shared" si="177"/>
        <v>70.36363636</v>
      </c>
      <c r="DD464" s="30">
        <f t="shared" si="178"/>
        <v>134.1818182</v>
      </c>
      <c r="DE464" s="30">
        <f t="shared" si="179"/>
        <v>189.8181818</v>
      </c>
      <c r="DF464" s="30">
        <f t="shared" si="180"/>
        <v>0</v>
      </c>
      <c r="DG464" s="30">
        <f t="shared" si="181"/>
        <v>40.90909091</v>
      </c>
      <c r="DH464" s="30">
        <f t="shared" si="182"/>
        <v>147.2727273</v>
      </c>
      <c r="DI464" s="30">
        <f t="shared" si="183"/>
        <v>16.36363636</v>
      </c>
      <c r="DJ464" s="30">
        <f t="shared" si="184"/>
        <v>36</v>
      </c>
      <c r="DK464" s="30">
        <f t="shared" si="185"/>
        <v>160.3636364</v>
      </c>
      <c r="DL464" s="30">
        <f t="shared" si="186"/>
        <v>0</v>
      </c>
      <c r="DM464" s="30">
        <f t="shared" si="187"/>
        <v>134.1818182</v>
      </c>
      <c r="DN464" s="30">
        <f t="shared" si="188"/>
        <v>90</v>
      </c>
      <c r="DO464" s="30">
        <f t="shared" si="189"/>
        <v>189.8181818</v>
      </c>
      <c r="DP464" s="30">
        <f t="shared" si="190"/>
        <v>13.09090909</v>
      </c>
      <c r="DQ464" s="30">
        <f t="shared" si="191"/>
        <v>108</v>
      </c>
    </row>
    <row r="465">
      <c r="B465" s="8" t="s">
        <v>22</v>
      </c>
      <c r="C465" s="30">
        <v>13.5</v>
      </c>
      <c r="D465" s="30">
        <v>4.5</v>
      </c>
      <c r="E465" s="30">
        <v>84.0</v>
      </c>
      <c r="F465" s="30">
        <v>7.5</v>
      </c>
      <c r="G465" s="30">
        <v>9.0</v>
      </c>
      <c r="H465" s="30">
        <v>9.0</v>
      </c>
      <c r="I465" s="30">
        <v>0.0</v>
      </c>
      <c r="J465" s="30">
        <v>0.0</v>
      </c>
      <c r="K465" s="30">
        <v>85.5</v>
      </c>
      <c r="L465" s="30">
        <v>0.0</v>
      </c>
      <c r="M465" s="30">
        <v>0.0</v>
      </c>
      <c r="N465" s="30">
        <v>43.5</v>
      </c>
      <c r="O465" s="30">
        <v>6.0</v>
      </c>
      <c r="P465" s="30">
        <v>90.0</v>
      </c>
      <c r="Q465" s="30">
        <v>90.0</v>
      </c>
      <c r="R465" s="30">
        <v>7.5</v>
      </c>
      <c r="S465" s="30">
        <v>6.0</v>
      </c>
      <c r="T465" s="30">
        <v>64.5</v>
      </c>
      <c r="U465" s="30">
        <v>0.0</v>
      </c>
      <c r="V465" s="30">
        <v>0.0</v>
      </c>
      <c r="W465" s="30">
        <v>0.0</v>
      </c>
      <c r="X465" s="30">
        <v>90.0</v>
      </c>
      <c r="Y465" s="30">
        <v>18.0</v>
      </c>
      <c r="Z465" s="30">
        <v>10.5</v>
      </c>
      <c r="AA465" s="30">
        <v>0.0</v>
      </c>
      <c r="AB465" s="30">
        <v>40.5</v>
      </c>
      <c r="AC465" s="30">
        <v>0.0</v>
      </c>
      <c r="AD465" s="30">
        <v>7.5</v>
      </c>
      <c r="AE465" s="30">
        <v>67.5</v>
      </c>
      <c r="AF465" s="30">
        <v>0.0</v>
      </c>
      <c r="AG465" s="30">
        <v>0.0</v>
      </c>
      <c r="AH465" s="30">
        <v>0.0</v>
      </c>
      <c r="AI465" s="30">
        <v>90.0</v>
      </c>
      <c r="AJ465" s="30">
        <v>61.5</v>
      </c>
      <c r="AK465" s="30">
        <v>78.0</v>
      </c>
      <c r="AL465" s="30">
        <v>90.0</v>
      </c>
      <c r="AM465" s="30">
        <v>57.0</v>
      </c>
      <c r="AN465" s="30">
        <v>0.0</v>
      </c>
      <c r="AO465" s="30">
        <v>90.0</v>
      </c>
      <c r="AP465" s="30">
        <v>42.0</v>
      </c>
      <c r="AQ465" s="30">
        <v>0.0</v>
      </c>
      <c r="AR465" s="30">
        <v>28.5</v>
      </c>
      <c r="AS465" s="30">
        <v>0.0</v>
      </c>
      <c r="AT465" s="30">
        <v>0.0</v>
      </c>
      <c r="AU465" s="30">
        <v>0.0</v>
      </c>
      <c r="AV465" s="30">
        <v>0.0</v>
      </c>
      <c r="AW465" s="30">
        <v>0.0</v>
      </c>
      <c r="AX465" s="30">
        <v>0.0</v>
      </c>
      <c r="AY465" s="30">
        <v>0.0</v>
      </c>
      <c r="AZ465" s="30">
        <v>90.0</v>
      </c>
      <c r="BA465" s="30">
        <v>31.5</v>
      </c>
      <c r="BB465" s="30">
        <v>0.0</v>
      </c>
      <c r="BC465" s="30">
        <v>0.0</v>
      </c>
      <c r="BD465" s="30">
        <v>78.0</v>
      </c>
      <c r="BE465" s="30">
        <v>15.0</v>
      </c>
      <c r="BF465" s="30">
        <v>0.0</v>
      </c>
      <c r="BG465" s="30">
        <v>90.0</v>
      </c>
      <c r="BH465" s="30">
        <v>0.0</v>
      </c>
      <c r="BI465" s="30">
        <v>0.0</v>
      </c>
      <c r="BJ465" s="30">
        <v>0.0</v>
      </c>
      <c r="BK465" s="30">
        <v>90.0</v>
      </c>
      <c r="BL465" s="30">
        <v>55.5</v>
      </c>
      <c r="BM465" s="30">
        <v>37.5</v>
      </c>
      <c r="BN465" s="30">
        <v>19.5</v>
      </c>
      <c r="BO465" s="30">
        <v>0.0</v>
      </c>
      <c r="BP465" s="30">
        <v>6.0</v>
      </c>
      <c r="BQ465" s="30">
        <v>10.5</v>
      </c>
      <c r="BR465" s="30">
        <v>0.0</v>
      </c>
      <c r="BS465" s="30">
        <v>0.0</v>
      </c>
      <c r="BT465" s="30">
        <v>90.0</v>
      </c>
      <c r="BU465" s="30">
        <v>9.0</v>
      </c>
      <c r="BV465" s="30">
        <v>90.0</v>
      </c>
      <c r="BW465" s="30">
        <v>90.0</v>
      </c>
      <c r="BX465" s="30">
        <v>0.0</v>
      </c>
      <c r="BY465" s="30">
        <v>0.0</v>
      </c>
      <c r="BZ465" s="30">
        <v>0.0</v>
      </c>
      <c r="CA465" s="30">
        <v>19.5</v>
      </c>
      <c r="CB465" s="30">
        <v>0.0</v>
      </c>
      <c r="CC465" s="30">
        <v>0.0</v>
      </c>
      <c r="CD465" s="30">
        <v>90.0</v>
      </c>
      <c r="CE465" s="30">
        <v>90.0</v>
      </c>
      <c r="CF465" s="30">
        <v>58.5</v>
      </c>
      <c r="CG465" s="30">
        <v>0.0</v>
      </c>
      <c r="CH465" s="30">
        <v>0.0</v>
      </c>
      <c r="CI465" s="30">
        <v>0.0</v>
      </c>
      <c r="CJ465" s="30">
        <v>90.0</v>
      </c>
      <c r="CK465" s="30">
        <v>58.5</v>
      </c>
      <c r="CL465" s="30">
        <v>0.0</v>
      </c>
      <c r="CM465" s="30">
        <v>0.0</v>
      </c>
      <c r="CN465" s="30">
        <v>31.5</v>
      </c>
      <c r="CO465" s="30">
        <v>58.5</v>
      </c>
      <c r="CP465" s="30">
        <v>0.0</v>
      </c>
      <c r="CQ465" s="30">
        <v>0.0</v>
      </c>
      <c r="CR465" s="30">
        <v>0.0</v>
      </c>
      <c r="CV465" s="30">
        <f t="shared" si="170"/>
        <v>154.5</v>
      </c>
      <c r="CW465" s="30">
        <f t="shared" si="171"/>
        <v>175.5</v>
      </c>
      <c r="CX465" s="30">
        <f t="shared" si="172"/>
        <v>192</v>
      </c>
      <c r="CY465" s="30">
        <f t="shared" si="173"/>
        <v>109.5</v>
      </c>
      <c r="CZ465" s="30">
        <f t="shared" si="174"/>
        <v>133.5</v>
      </c>
      <c r="DA465" s="30">
        <f t="shared" si="175"/>
        <v>30</v>
      </c>
      <c r="DB465" s="30">
        <f t="shared" si="176"/>
        <v>0</v>
      </c>
      <c r="DC465" s="30">
        <f t="shared" si="177"/>
        <v>148.5</v>
      </c>
      <c r="DD465" s="30">
        <f t="shared" si="178"/>
        <v>270</v>
      </c>
      <c r="DE465" s="30">
        <f t="shared" si="179"/>
        <v>18</v>
      </c>
      <c r="DF465" s="30">
        <f t="shared" si="180"/>
        <v>85.5</v>
      </c>
      <c r="DG465" s="30">
        <f t="shared" si="181"/>
        <v>382.5</v>
      </c>
      <c r="DH465" s="30">
        <f t="shared" si="182"/>
        <v>141</v>
      </c>
      <c r="DI465" s="30">
        <f t="shared" si="183"/>
        <v>90</v>
      </c>
      <c r="DJ465" s="30">
        <f t="shared" si="184"/>
        <v>19.5</v>
      </c>
      <c r="DK465" s="30">
        <f t="shared" si="185"/>
        <v>10.5</v>
      </c>
      <c r="DL465" s="30">
        <f t="shared" si="186"/>
        <v>9</v>
      </c>
      <c r="DM465" s="30">
        <f t="shared" si="187"/>
        <v>270</v>
      </c>
      <c r="DN465" s="30">
        <f t="shared" si="188"/>
        <v>90</v>
      </c>
      <c r="DO465" s="30">
        <f t="shared" si="189"/>
        <v>18</v>
      </c>
      <c r="DP465" s="30">
        <f t="shared" si="190"/>
        <v>37.5</v>
      </c>
      <c r="DQ465" s="30">
        <f t="shared" si="191"/>
        <v>357</v>
      </c>
    </row>
    <row r="466">
      <c r="B466" s="8" t="s">
        <v>23</v>
      </c>
      <c r="C466" s="30">
        <v>76.5</v>
      </c>
      <c r="D466" s="30">
        <v>13.5</v>
      </c>
      <c r="E466" s="30">
        <v>21.0</v>
      </c>
      <c r="F466" s="30">
        <v>18.0</v>
      </c>
      <c r="G466" s="30">
        <v>19.5</v>
      </c>
      <c r="H466" s="30">
        <v>19.5</v>
      </c>
      <c r="I466" s="30">
        <v>66.0</v>
      </c>
      <c r="J466" s="30">
        <v>70.5</v>
      </c>
      <c r="K466" s="30">
        <v>21.0</v>
      </c>
      <c r="L466" s="30">
        <v>25.5</v>
      </c>
      <c r="M466" s="30">
        <v>21.0</v>
      </c>
      <c r="N466" s="30">
        <v>61.5</v>
      </c>
      <c r="O466" s="30">
        <v>18.0</v>
      </c>
      <c r="P466" s="30">
        <v>70.5</v>
      </c>
      <c r="Q466" s="30">
        <v>58.5</v>
      </c>
      <c r="R466" s="30">
        <v>12.0</v>
      </c>
      <c r="S466" s="30">
        <v>70.5</v>
      </c>
      <c r="T466" s="30">
        <v>27.0</v>
      </c>
      <c r="U466" s="30">
        <v>15.0</v>
      </c>
      <c r="V466" s="30">
        <v>16.5</v>
      </c>
      <c r="W466" s="30">
        <v>46.5</v>
      </c>
      <c r="X466" s="30">
        <v>7.5</v>
      </c>
      <c r="Y466" s="30">
        <v>46.5</v>
      </c>
      <c r="Z466" s="30">
        <v>19.5</v>
      </c>
      <c r="AA466" s="30">
        <v>18.0</v>
      </c>
      <c r="AB466" s="30">
        <v>55.5</v>
      </c>
      <c r="AC466" s="30">
        <v>4.5</v>
      </c>
      <c r="AD466" s="30">
        <v>10.5</v>
      </c>
      <c r="AE466" s="30">
        <v>18.0</v>
      </c>
      <c r="AF466" s="30">
        <v>18.0</v>
      </c>
      <c r="AG466" s="30">
        <v>37.5</v>
      </c>
      <c r="AH466" s="30">
        <v>54.0</v>
      </c>
      <c r="AI466" s="30">
        <v>55.5</v>
      </c>
      <c r="AJ466" s="30">
        <v>30.0</v>
      </c>
      <c r="AK466" s="30">
        <v>30.0</v>
      </c>
      <c r="AL466" s="30">
        <v>72.0</v>
      </c>
      <c r="AM466" s="30">
        <v>54.0</v>
      </c>
      <c r="AN466" s="30">
        <v>55.5</v>
      </c>
      <c r="AO466" s="30">
        <v>60.0</v>
      </c>
      <c r="AP466" s="30">
        <v>9.0</v>
      </c>
      <c r="AQ466" s="30">
        <v>12.0</v>
      </c>
      <c r="AR466" s="30">
        <v>25.5</v>
      </c>
      <c r="AS466" s="30">
        <v>60.0</v>
      </c>
      <c r="AT466" s="30">
        <v>66.0</v>
      </c>
      <c r="AU466" s="30">
        <v>21.0</v>
      </c>
      <c r="AV466" s="30">
        <v>64.5</v>
      </c>
      <c r="AW466" s="30">
        <v>51.0</v>
      </c>
      <c r="AX466" s="30">
        <v>27.0</v>
      </c>
      <c r="AY466" s="30">
        <v>15.0</v>
      </c>
      <c r="AZ466" s="30">
        <v>55.5</v>
      </c>
      <c r="BA466" s="30">
        <v>45.0</v>
      </c>
      <c r="BB466" s="30">
        <v>9.0</v>
      </c>
      <c r="BC466" s="30">
        <v>46.5</v>
      </c>
      <c r="BD466" s="30">
        <v>15.0</v>
      </c>
      <c r="BE466" s="30">
        <v>15.0</v>
      </c>
      <c r="BF466" s="30">
        <v>18.0</v>
      </c>
      <c r="BG466" s="30">
        <v>51.0</v>
      </c>
      <c r="BH466" s="30">
        <v>10.5</v>
      </c>
      <c r="BI466" s="30">
        <v>51.0</v>
      </c>
      <c r="BJ466" s="30">
        <v>18.0</v>
      </c>
      <c r="BK466" s="30">
        <v>24.0</v>
      </c>
      <c r="BL466" s="30">
        <v>30.0</v>
      </c>
      <c r="BM466" s="30">
        <v>52.5</v>
      </c>
      <c r="BN466" s="30">
        <v>55.5</v>
      </c>
      <c r="BO466" s="30">
        <v>10.5</v>
      </c>
      <c r="BP466" s="30">
        <v>18.0</v>
      </c>
      <c r="BQ466" s="30">
        <v>55.5</v>
      </c>
      <c r="BR466" s="30">
        <v>22.5</v>
      </c>
      <c r="BS466" s="30">
        <v>13.5</v>
      </c>
      <c r="BT466" s="30">
        <v>15.0</v>
      </c>
      <c r="BU466" s="30">
        <v>61.5</v>
      </c>
      <c r="BV466" s="30">
        <v>12.0</v>
      </c>
      <c r="BW466" s="30">
        <v>42.0</v>
      </c>
      <c r="BX466" s="30">
        <v>45.0</v>
      </c>
      <c r="BY466" s="30">
        <v>49.5</v>
      </c>
      <c r="BZ466" s="30">
        <v>45.0</v>
      </c>
      <c r="CA466" s="30">
        <v>12.0</v>
      </c>
      <c r="CB466" s="30">
        <v>46.5</v>
      </c>
      <c r="CC466" s="30">
        <v>54.0</v>
      </c>
      <c r="CD466" s="30">
        <v>60.0</v>
      </c>
      <c r="CE466" s="30">
        <v>64.5</v>
      </c>
      <c r="CF466" s="30">
        <v>66.0</v>
      </c>
      <c r="CG466" s="30">
        <v>46.5</v>
      </c>
      <c r="CH466" s="30">
        <v>13.5</v>
      </c>
      <c r="CI466" s="30">
        <v>19.5</v>
      </c>
      <c r="CJ466" s="30">
        <v>45.0</v>
      </c>
      <c r="CK466" s="30">
        <v>72.0</v>
      </c>
      <c r="CL466" s="30">
        <v>72.0</v>
      </c>
      <c r="CM466" s="30">
        <v>15.0</v>
      </c>
      <c r="CN466" s="30">
        <v>13.5</v>
      </c>
      <c r="CO466" s="30">
        <v>18.0</v>
      </c>
      <c r="CP466" s="30">
        <v>21.0</v>
      </c>
      <c r="CQ466" s="30">
        <v>22.5</v>
      </c>
      <c r="CR466" s="30">
        <v>21.0</v>
      </c>
      <c r="CV466" s="30">
        <f t="shared" si="170"/>
        <v>103.5</v>
      </c>
      <c r="CW466" s="30">
        <f t="shared" si="171"/>
        <v>99</v>
      </c>
      <c r="CX466" s="30">
        <f t="shared" si="172"/>
        <v>124.5</v>
      </c>
      <c r="CY466" s="30">
        <f t="shared" si="173"/>
        <v>81</v>
      </c>
      <c r="CZ466" s="30">
        <f t="shared" si="174"/>
        <v>138</v>
      </c>
      <c r="DA466" s="30">
        <f t="shared" si="175"/>
        <v>339</v>
      </c>
      <c r="DB466" s="30">
        <f t="shared" si="176"/>
        <v>277.5</v>
      </c>
      <c r="DC466" s="30">
        <f t="shared" si="177"/>
        <v>180</v>
      </c>
      <c r="DD466" s="30">
        <f t="shared" si="178"/>
        <v>133.5</v>
      </c>
      <c r="DE466" s="30">
        <f t="shared" si="179"/>
        <v>112.5</v>
      </c>
      <c r="DF466" s="30">
        <f t="shared" si="180"/>
        <v>63</v>
      </c>
      <c r="DG466" s="30">
        <f t="shared" si="181"/>
        <v>339</v>
      </c>
      <c r="DH466" s="30">
        <f t="shared" si="182"/>
        <v>150</v>
      </c>
      <c r="DI466" s="30">
        <f t="shared" si="183"/>
        <v>93</v>
      </c>
      <c r="DJ466" s="30">
        <f t="shared" si="184"/>
        <v>312</v>
      </c>
      <c r="DK466" s="30">
        <f t="shared" si="185"/>
        <v>187.5</v>
      </c>
      <c r="DL466" s="30">
        <f t="shared" si="186"/>
        <v>52.5</v>
      </c>
      <c r="DM466" s="30">
        <f t="shared" si="187"/>
        <v>180</v>
      </c>
      <c r="DN466" s="30">
        <f t="shared" si="188"/>
        <v>126</v>
      </c>
      <c r="DO466" s="30">
        <f t="shared" si="189"/>
        <v>112.5</v>
      </c>
      <c r="DP466" s="30">
        <f t="shared" si="190"/>
        <v>328.5</v>
      </c>
      <c r="DQ466" s="30">
        <f t="shared" si="191"/>
        <v>415.5</v>
      </c>
    </row>
    <row r="467">
      <c r="B467" s="8" t="s">
        <v>24</v>
      </c>
      <c r="C467" s="30">
        <v>72.0</v>
      </c>
      <c r="D467" s="30">
        <v>10.5</v>
      </c>
      <c r="E467" s="30">
        <v>34.5</v>
      </c>
      <c r="F467" s="30">
        <v>6.0</v>
      </c>
      <c r="G467" s="30">
        <v>7.5</v>
      </c>
      <c r="H467" s="30">
        <v>0.0</v>
      </c>
      <c r="I467" s="30">
        <v>90.0</v>
      </c>
      <c r="J467" s="30">
        <v>3.0</v>
      </c>
      <c r="K467" s="30">
        <v>0.0</v>
      </c>
      <c r="L467" s="30">
        <v>0.0</v>
      </c>
      <c r="M467" s="30">
        <v>0.0</v>
      </c>
      <c r="N467" s="30">
        <v>0.0</v>
      </c>
      <c r="O467" s="30">
        <v>0.0</v>
      </c>
      <c r="P467" s="30">
        <v>90.0</v>
      </c>
      <c r="Q467" s="30">
        <v>7.5</v>
      </c>
      <c r="R467" s="30">
        <v>0.0</v>
      </c>
      <c r="S467" s="30">
        <v>22.5</v>
      </c>
      <c r="T467" s="30">
        <v>4.5</v>
      </c>
      <c r="U467" s="30">
        <v>3.0</v>
      </c>
      <c r="V467" s="30">
        <v>22.5</v>
      </c>
      <c r="W467" s="30">
        <v>13.5</v>
      </c>
      <c r="X467" s="30">
        <v>58.5</v>
      </c>
      <c r="Y467" s="30">
        <v>15.0</v>
      </c>
      <c r="Z467" s="30">
        <v>12.0</v>
      </c>
      <c r="AA467" s="30">
        <v>4.5</v>
      </c>
      <c r="AB467" s="30">
        <v>6.0</v>
      </c>
      <c r="AC467" s="30">
        <v>13.5</v>
      </c>
      <c r="AD467" s="30">
        <v>0.0</v>
      </c>
      <c r="AE467" s="30">
        <v>0.0</v>
      </c>
      <c r="AF467" s="30">
        <v>0.0</v>
      </c>
      <c r="AG467" s="30">
        <v>0.0</v>
      </c>
      <c r="AH467" s="30">
        <v>0.0</v>
      </c>
      <c r="AI467" s="30">
        <v>18.0</v>
      </c>
      <c r="AJ467" s="30">
        <v>18.0</v>
      </c>
      <c r="AK467" s="30">
        <v>43.5</v>
      </c>
      <c r="AL467" s="30">
        <v>81.0</v>
      </c>
      <c r="AM467" s="30">
        <v>10.5</v>
      </c>
      <c r="AN467" s="30">
        <v>6.0</v>
      </c>
      <c r="AO467" s="30">
        <v>72.0</v>
      </c>
      <c r="AP467" s="30">
        <v>3.0</v>
      </c>
      <c r="AQ467" s="30">
        <v>15.0</v>
      </c>
      <c r="AR467" s="30">
        <v>7.5</v>
      </c>
      <c r="AS467" s="30">
        <v>3.0</v>
      </c>
      <c r="AT467" s="30">
        <v>3.0</v>
      </c>
      <c r="AU467" s="30">
        <v>6.0</v>
      </c>
      <c r="AV467" s="30">
        <v>7.5</v>
      </c>
      <c r="AW467" s="30">
        <v>7.5</v>
      </c>
      <c r="AX467" s="30">
        <v>6.0</v>
      </c>
      <c r="AY467" s="30">
        <v>0.0</v>
      </c>
      <c r="AZ467" s="30">
        <v>22.5</v>
      </c>
      <c r="BA467" s="30">
        <v>0.0</v>
      </c>
      <c r="BB467" s="30">
        <v>0.0</v>
      </c>
      <c r="BC467" s="30">
        <v>0.0</v>
      </c>
      <c r="BD467" s="30">
        <v>0.0</v>
      </c>
      <c r="BE467" s="30">
        <v>0.0</v>
      </c>
      <c r="BF467" s="30">
        <v>0.0</v>
      </c>
      <c r="BG467" s="30">
        <v>36.0</v>
      </c>
      <c r="BH467" s="30">
        <v>0.0</v>
      </c>
      <c r="BI467" s="30">
        <v>0.0</v>
      </c>
      <c r="BJ467" s="30">
        <v>0.0</v>
      </c>
      <c r="BK467" s="30">
        <v>0.0</v>
      </c>
      <c r="BL467" s="30">
        <v>0.0</v>
      </c>
      <c r="BM467" s="30">
        <v>0.0</v>
      </c>
      <c r="BN467" s="30">
        <v>0.0</v>
      </c>
      <c r="BO467" s="30">
        <v>0.0</v>
      </c>
      <c r="BP467" s="30">
        <v>0.0</v>
      </c>
      <c r="BQ467" s="30">
        <v>0.0</v>
      </c>
      <c r="BR467" s="30">
        <v>0.0</v>
      </c>
      <c r="BS467" s="30">
        <v>0.0</v>
      </c>
      <c r="BT467" s="30">
        <v>0.0</v>
      </c>
      <c r="BU467" s="30">
        <v>0.0</v>
      </c>
      <c r="BV467" s="30">
        <v>0.0</v>
      </c>
      <c r="BW467" s="30">
        <v>0.0</v>
      </c>
      <c r="BX467" s="30">
        <v>0.0</v>
      </c>
      <c r="BY467" s="30">
        <v>43.5</v>
      </c>
      <c r="BZ467" s="30">
        <v>0.0</v>
      </c>
      <c r="CA467" s="30">
        <v>0.0</v>
      </c>
      <c r="CB467" s="30">
        <v>0.0</v>
      </c>
      <c r="CC467" s="30">
        <v>0.0</v>
      </c>
      <c r="CD467" s="30">
        <v>0.0</v>
      </c>
      <c r="CE467" s="30">
        <v>55.5</v>
      </c>
      <c r="CF467" s="30">
        <v>49.5</v>
      </c>
      <c r="CG467" s="30">
        <v>0.0</v>
      </c>
      <c r="CH467" s="30">
        <v>0.0</v>
      </c>
      <c r="CI467" s="30">
        <v>0.0</v>
      </c>
      <c r="CJ467" s="30">
        <v>49.5</v>
      </c>
      <c r="CK467" s="30">
        <v>0.0</v>
      </c>
      <c r="CL467" s="30">
        <v>0.0</v>
      </c>
      <c r="CM467" s="30">
        <v>0.0</v>
      </c>
      <c r="CN467" s="30">
        <v>0.0</v>
      </c>
      <c r="CO467" s="30">
        <v>0.0</v>
      </c>
      <c r="CP467" s="30">
        <v>0.0</v>
      </c>
      <c r="CQ467" s="30">
        <v>0.0</v>
      </c>
      <c r="CR467" s="30">
        <v>0.0</v>
      </c>
      <c r="CV467" s="30">
        <f t="shared" si="170"/>
        <v>45</v>
      </c>
      <c r="CW467" s="30">
        <f t="shared" si="171"/>
        <v>55.5</v>
      </c>
      <c r="CX467" s="30">
        <f t="shared" si="172"/>
        <v>49.5</v>
      </c>
      <c r="CY467" s="30">
        <f t="shared" si="173"/>
        <v>22.5</v>
      </c>
      <c r="CZ467" s="30">
        <f t="shared" si="174"/>
        <v>6</v>
      </c>
      <c r="DA467" s="30">
        <f t="shared" si="175"/>
        <v>30</v>
      </c>
      <c r="DB467" s="30">
        <f t="shared" si="176"/>
        <v>13.5</v>
      </c>
      <c r="DC467" s="30">
        <f t="shared" si="177"/>
        <v>121.5</v>
      </c>
      <c r="DD467" s="30">
        <f t="shared" si="178"/>
        <v>166.5</v>
      </c>
      <c r="DE467" s="30">
        <f t="shared" si="179"/>
        <v>81</v>
      </c>
      <c r="DF467" s="30">
        <f t="shared" si="180"/>
        <v>0</v>
      </c>
      <c r="DG467" s="30">
        <f t="shared" si="181"/>
        <v>130.5</v>
      </c>
      <c r="DH467" s="30">
        <f t="shared" si="182"/>
        <v>6</v>
      </c>
      <c r="DI467" s="30">
        <f t="shared" si="183"/>
        <v>96</v>
      </c>
      <c r="DJ467" s="30">
        <f t="shared" si="184"/>
        <v>27</v>
      </c>
      <c r="DK467" s="30">
        <f t="shared" si="185"/>
        <v>19.5</v>
      </c>
      <c r="DL467" s="30">
        <f t="shared" si="186"/>
        <v>0</v>
      </c>
      <c r="DM467" s="30">
        <f t="shared" si="187"/>
        <v>166.5</v>
      </c>
      <c r="DN467" s="30">
        <f t="shared" si="188"/>
        <v>162</v>
      </c>
      <c r="DO467" s="30">
        <f t="shared" si="189"/>
        <v>81</v>
      </c>
      <c r="DP467" s="30">
        <f t="shared" si="190"/>
        <v>27</v>
      </c>
      <c r="DQ467" s="30">
        <f t="shared" si="191"/>
        <v>63</v>
      </c>
    </row>
    <row r="468">
      <c r="B468" s="8" t="s">
        <v>25</v>
      </c>
      <c r="C468" s="30">
        <v>90.0</v>
      </c>
      <c r="D468" s="30">
        <v>0.0</v>
      </c>
      <c r="E468" s="30">
        <v>31.5</v>
      </c>
      <c r="F468" s="30">
        <v>49.5</v>
      </c>
      <c r="G468" s="30">
        <v>10.5</v>
      </c>
      <c r="H468" s="30">
        <v>3.0</v>
      </c>
      <c r="I468" s="30">
        <v>82.5</v>
      </c>
      <c r="J468" s="30">
        <v>1.5</v>
      </c>
      <c r="K468" s="30">
        <v>60.0</v>
      </c>
      <c r="L468" s="30">
        <v>1.5</v>
      </c>
      <c r="M468" s="30">
        <v>0.0</v>
      </c>
      <c r="N468" s="30">
        <v>43.5</v>
      </c>
      <c r="O468" s="30">
        <v>1.5</v>
      </c>
      <c r="P468" s="30">
        <v>90.0</v>
      </c>
      <c r="Q468" s="30">
        <v>1.5</v>
      </c>
      <c r="R468" s="30">
        <v>7.5</v>
      </c>
      <c r="S468" s="30">
        <v>85.5</v>
      </c>
      <c r="T468" s="30">
        <v>78.0</v>
      </c>
      <c r="U468" s="30">
        <v>0.0</v>
      </c>
      <c r="V468" s="30">
        <v>75.0</v>
      </c>
      <c r="W468" s="30">
        <v>0.0</v>
      </c>
      <c r="X468" s="30">
        <v>90.0</v>
      </c>
      <c r="Y468" s="30">
        <v>19.5</v>
      </c>
      <c r="Z468" s="30">
        <v>0.0</v>
      </c>
      <c r="AA468" s="30">
        <v>7.5</v>
      </c>
      <c r="AB468" s="30">
        <v>90.0</v>
      </c>
      <c r="AC468" s="30">
        <v>90.0</v>
      </c>
      <c r="AD468" s="30">
        <v>0.0</v>
      </c>
      <c r="AE468" s="30">
        <v>0.0</v>
      </c>
      <c r="AF468" s="30">
        <v>0.0</v>
      </c>
      <c r="AG468" s="30">
        <v>0.0</v>
      </c>
      <c r="AH468" s="30">
        <v>0.0</v>
      </c>
      <c r="AI468" s="30">
        <v>90.0</v>
      </c>
      <c r="AJ468" s="30">
        <v>82.5</v>
      </c>
      <c r="AK468" s="30">
        <v>90.0</v>
      </c>
      <c r="AL468" s="30">
        <v>90.0</v>
      </c>
      <c r="AM468" s="30">
        <v>0.0</v>
      </c>
      <c r="AN468" s="30">
        <v>0.0</v>
      </c>
      <c r="AO468" s="30">
        <v>82.5</v>
      </c>
      <c r="AP468" s="30">
        <v>90.0</v>
      </c>
      <c r="AQ468" s="30">
        <v>72.0</v>
      </c>
      <c r="AR468" s="30">
        <v>16.5</v>
      </c>
      <c r="AS468" s="30">
        <v>0.0</v>
      </c>
      <c r="AT468" s="30">
        <v>0.0</v>
      </c>
      <c r="AU468" s="30">
        <v>90.0</v>
      </c>
      <c r="AV468" s="30">
        <v>0.0</v>
      </c>
      <c r="AW468" s="30">
        <v>57.0</v>
      </c>
      <c r="AX468" s="30">
        <v>16.5</v>
      </c>
      <c r="AY468" s="30">
        <v>36.0</v>
      </c>
      <c r="AZ468" s="30">
        <v>90.0</v>
      </c>
      <c r="BA468" s="30">
        <v>60.0</v>
      </c>
      <c r="BB468" s="30">
        <v>82.5</v>
      </c>
      <c r="BC468" s="30">
        <v>0.0</v>
      </c>
      <c r="BD468" s="30">
        <v>0.0</v>
      </c>
      <c r="BE468" s="30">
        <v>1.5</v>
      </c>
      <c r="BF468" s="30">
        <v>0.0</v>
      </c>
      <c r="BG468" s="30">
        <v>61.5</v>
      </c>
      <c r="BH468" s="30">
        <v>0.0</v>
      </c>
      <c r="BI468" s="30">
        <v>0.0</v>
      </c>
      <c r="BJ468" s="30">
        <v>175.5</v>
      </c>
      <c r="BK468" s="30">
        <v>0.0</v>
      </c>
      <c r="BL468" s="30">
        <v>169.5</v>
      </c>
      <c r="BM468" s="30">
        <v>18.0</v>
      </c>
      <c r="BN468" s="30">
        <v>0.0</v>
      </c>
      <c r="BO468" s="30">
        <v>58.5</v>
      </c>
      <c r="BP468" s="30">
        <v>0.0</v>
      </c>
      <c r="BQ468" s="30">
        <v>30.0</v>
      </c>
      <c r="BR468" s="30">
        <v>0.0</v>
      </c>
      <c r="BS468" s="30">
        <v>0.0</v>
      </c>
      <c r="BT468" s="30">
        <v>0.0</v>
      </c>
      <c r="BU468" s="30">
        <v>90.0</v>
      </c>
      <c r="BV468" s="30">
        <v>0.0</v>
      </c>
      <c r="BW468" s="30">
        <v>7.5</v>
      </c>
      <c r="BX468" s="30">
        <v>0.0</v>
      </c>
      <c r="BY468" s="30">
        <v>90.0</v>
      </c>
      <c r="BZ468" s="30">
        <v>16.5</v>
      </c>
      <c r="CA468" s="30">
        <v>67.5</v>
      </c>
      <c r="CB468" s="30">
        <v>51.0</v>
      </c>
      <c r="CC468" s="30">
        <v>0.0</v>
      </c>
      <c r="CD468" s="30">
        <v>36.0</v>
      </c>
      <c r="CE468" s="30">
        <v>90.0</v>
      </c>
      <c r="CF468" s="30">
        <v>90.0</v>
      </c>
      <c r="CG468" s="30">
        <v>0.0</v>
      </c>
      <c r="CH468" s="30">
        <v>0.0</v>
      </c>
      <c r="CI468" s="30">
        <v>0.0</v>
      </c>
      <c r="CJ468" s="30">
        <v>78.0</v>
      </c>
      <c r="CK468" s="30">
        <v>0.0</v>
      </c>
      <c r="CL468" s="30">
        <v>45.0</v>
      </c>
      <c r="CM468" s="30">
        <v>0.0</v>
      </c>
      <c r="CN468" s="30">
        <v>0.0</v>
      </c>
      <c r="CO468" s="30">
        <v>15.0</v>
      </c>
      <c r="CP468" s="30">
        <v>28.5</v>
      </c>
      <c r="CQ468" s="30">
        <v>0.0</v>
      </c>
      <c r="CR468" s="30">
        <v>0.0</v>
      </c>
      <c r="CV468" s="30">
        <f t="shared" si="170"/>
        <v>331.5</v>
      </c>
      <c r="CW468" s="30">
        <f t="shared" si="171"/>
        <v>150</v>
      </c>
      <c r="CX468" s="30">
        <f t="shared" si="172"/>
        <v>136.5</v>
      </c>
      <c r="CY468" s="30">
        <f t="shared" si="173"/>
        <v>157.5</v>
      </c>
      <c r="CZ468" s="30">
        <f t="shared" si="174"/>
        <v>277.5</v>
      </c>
      <c r="DA468" s="30">
        <f t="shared" si="175"/>
        <v>229.5</v>
      </c>
      <c r="DB468" s="30">
        <f t="shared" si="176"/>
        <v>0</v>
      </c>
      <c r="DC468" s="30">
        <f t="shared" si="177"/>
        <v>172.5</v>
      </c>
      <c r="DD468" s="30">
        <f t="shared" si="178"/>
        <v>270</v>
      </c>
      <c r="DE468" s="30">
        <f t="shared" si="179"/>
        <v>184.5</v>
      </c>
      <c r="DF468" s="30">
        <f t="shared" si="180"/>
        <v>0</v>
      </c>
      <c r="DG468" s="30">
        <f t="shared" si="181"/>
        <v>462</v>
      </c>
      <c r="DH468" s="30">
        <f t="shared" si="182"/>
        <v>285</v>
      </c>
      <c r="DI468" s="30">
        <f t="shared" si="183"/>
        <v>244.5</v>
      </c>
      <c r="DJ468" s="30">
        <f t="shared" si="184"/>
        <v>0</v>
      </c>
      <c r="DK468" s="30">
        <f t="shared" si="185"/>
        <v>165</v>
      </c>
      <c r="DL468" s="30">
        <f t="shared" si="186"/>
        <v>3</v>
      </c>
      <c r="DM468" s="30">
        <f t="shared" si="187"/>
        <v>270</v>
      </c>
      <c r="DN468" s="30">
        <f t="shared" si="188"/>
        <v>165</v>
      </c>
      <c r="DO468" s="30">
        <f t="shared" si="189"/>
        <v>184.5</v>
      </c>
      <c r="DP468" s="30">
        <f t="shared" si="190"/>
        <v>226.5</v>
      </c>
      <c r="DQ468" s="30">
        <f t="shared" si="191"/>
        <v>148.5</v>
      </c>
    </row>
    <row r="469">
      <c r="B469" s="8" t="s">
        <v>26</v>
      </c>
      <c r="C469" s="30">
        <v>85.5</v>
      </c>
      <c r="D469" s="30">
        <v>0.0</v>
      </c>
      <c r="E469" s="30">
        <v>90.0</v>
      </c>
      <c r="F469" s="30">
        <v>25.5</v>
      </c>
      <c r="G469" s="30">
        <v>16.5</v>
      </c>
      <c r="H469" s="30">
        <v>0.0</v>
      </c>
      <c r="I469" s="30">
        <v>0.0</v>
      </c>
      <c r="J469" s="30">
        <v>0.0</v>
      </c>
      <c r="K469" s="30">
        <v>78.0</v>
      </c>
      <c r="L469" s="30">
        <v>0.0</v>
      </c>
      <c r="M469" s="30">
        <v>0.0</v>
      </c>
      <c r="N469" s="30">
        <v>76.5</v>
      </c>
      <c r="O469" s="30">
        <v>0.0</v>
      </c>
      <c r="P469" s="30">
        <v>90.0</v>
      </c>
      <c r="Q469" s="30">
        <v>0.0</v>
      </c>
      <c r="R469" s="30">
        <v>19.5</v>
      </c>
      <c r="S469" s="30">
        <v>0.0</v>
      </c>
      <c r="T469" s="30">
        <v>90.0</v>
      </c>
      <c r="U469" s="30">
        <v>0.0</v>
      </c>
      <c r="V469" s="30">
        <v>64.5</v>
      </c>
      <c r="W469" s="30">
        <v>0.0</v>
      </c>
      <c r="X469" s="30">
        <v>90.0</v>
      </c>
      <c r="Y469" s="30">
        <v>90.0</v>
      </c>
      <c r="Z469" s="30">
        <v>0.0</v>
      </c>
      <c r="AA469" s="30">
        <v>0.0</v>
      </c>
      <c r="AB469" s="30">
        <v>90.0</v>
      </c>
      <c r="AC469" s="30">
        <v>0.0</v>
      </c>
      <c r="AD469" s="30">
        <v>16.5</v>
      </c>
      <c r="AE469" s="30">
        <v>0.0</v>
      </c>
      <c r="AF469" s="30">
        <v>0.0</v>
      </c>
      <c r="AG469" s="30">
        <v>0.0</v>
      </c>
      <c r="AH469" s="30">
        <v>0.0</v>
      </c>
      <c r="AI469" s="30">
        <v>84.0</v>
      </c>
      <c r="AJ469" s="30">
        <v>90.0</v>
      </c>
      <c r="AK469" s="30">
        <v>90.0</v>
      </c>
      <c r="AL469" s="30">
        <v>90.0</v>
      </c>
      <c r="AM469" s="30">
        <v>0.0</v>
      </c>
      <c r="AN469" s="30">
        <v>0.0</v>
      </c>
      <c r="AO469" s="30">
        <v>0.0</v>
      </c>
      <c r="AP469" s="30">
        <v>70.5</v>
      </c>
      <c r="AQ469" s="30">
        <v>90.0</v>
      </c>
      <c r="AR469" s="30">
        <v>87.0</v>
      </c>
      <c r="AS469" s="30">
        <v>0.0</v>
      </c>
      <c r="AT469" s="30">
        <v>0.0</v>
      </c>
      <c r="AU469" s="30">
        <v>90.0</v>
      </c>
      <c r="AV469" s="30">
        <v>0.0</v>
      </c>
      <c r="AW469" s="30">
        <v>0.0</v>
      </c>
      <c r="AX469" s="30">
        <v>0.0</v>
      </c>
      <c r="AY469" s="30">
        <v>0.0</v>
      </c>
      <c r="AZ469" s="30">
        <v>90.0</v>
      </c>
      <c r="BA469" s="30">
        <v>0.0</v>
      </c>
      <c r="BB469" s="30">
        <v>90.0</v>
      </c>
      <c r="BC469" s="30">
        <v>0.0</v>
      </c>
      <c r="BD469" s="30">
        <v>16.5</v>
      </c>
      <c r="BE469" s="30">
        <v>0.0</v>
      </c>
      <c r="BF469" s="30">
        <v>0.0</v>
      </c>
      <c r="BG469" s="30">
        <v>90.0</v>
      </c>
      <c r="BH469" s="30">
        <v>6.0</v>
      </c>
      <c r="BI469" s="30">
        <v>0.0</v>
      </c>
      <c r="BJ469" s="30">
        <v>0.0</v>
      </c>
      <c r="BK469" s="30">
        <v>0.0</v>
      </c>
      <c r="BL469" s="30">
        <v>78.0</v>
      </c>
      <c r="BM469" s="30">
        <v>0.0</v>
      </c>
      <c r="BN469" s="30">
        <v>0.0</v>
      </c>
      <c r="BO469" s="30">
        <v>0.0</v>
      </c>
      <c r="BP469" s="30">
        <v>0.0</v>
      </c>
      <c r="BQ469" s="30">
        <v>4.5</v>
      </c>
      <c r="BR469" s="30">
        <v>0.0</v>
      </c>
      <c r="BS469" s="30">
        <v>87.0</v>
      </c>
      <c r="BT469" s="30">
        <v>28.5</v>
      </c>
      <c r="BU469" s="30">
        <v>76.5</v>
      </c>
      <c r="BV469" s="30">
        <v>9.0</v>
      </c>
      <c r="BW469" s="30">
        <v>90.0</v>
      </c>
      <c r="BX469" s="30">
        <v>0.0</v>
      </c>
      <c r="BY469" s="30">
        <v>0.0</v>
      </c>
      <c r="BZ469" s="30">
        <v>4.5</v>
      </c>
      <c r="CA469" s="30">
        <v>33.0</v>
      </c>
      <c r="CB469" s="30">
        <v>0.0</v>
      </c>
      <c r="CC469" s="30">
        <v>0.0</v>
      </c>
      <c r="CD469" s="30">
        <v>13.5</v>
      </c>
      <c r="CE469" s="30">
        <v>79.5</v>
      </c>
      <c r="CF469" s="30">
        <v>46.5</v>
      </c>
      <c r="CG469" s="30">
        <v>0.0</v>
      </c>
      <c r="CH469" s="30">
        <v>0.0</v>
      </c>
      <c r="CI469" s="30">
        <v>0.0</v>
      </c>
      <c r="CJ469" s="30">
        <v>90.0</v>
      </c>
      <c r="CK469" s="30">
        <v>7.5</v>
      </c>
      <c r="CL469" s="30">
        <v>52.5</v>
      </c>
      <c r="CM469" s="30">
        <v>0.0</v>
      </c>
      <c r="CN469" s="30">
        <v>30.0</v>
      </c>
      <c r="CO469" s="30">
        <v>78.0</v>
      </c>
      <c r="CP469" s="30">
        <v>0.0</v>
      </c>
      <c r="CQ469" s="30">
        <v>3.0</v>
      </c>
      <c r="CR469" s="30">
        <v>16.5</v>
      </c>
      <c r="CV469" s="30">
        <f t="shared" si="170"/>
        <v>447</v>
      </c>
      <c r="CW469" s="30">
        <f t="shared" si="171"/>
        <v>157.5</v>
      </c>
      <c r="CX469" s="30">
        <f t="shared" si="172"/>
        <v>244.5</v>
      </c>
      <c r="CY469" s="30">
        <f t="shared" si="173"/>
        <v>210</v>
      </c>
      <c r="CZ469" s="30">
        <f t="shared" si="174"/>
        <v>168</v>
      </c>
      <c r="DA469" s="30">
        <f t="shared" si="175"/>
        <v>4.5</v>
      </c>
      <c r="DB469" s="30">
        <f t="shared" si="176"/>
        <v>0</v>
      </c>
      <c r="DC469" s="30">
        <f t="shared" si="177"/>
        <v>46.5</v>
      </c>
      <c r="DD469" s="30">
        <f t="shared" si="178"/>
        <v>264</v>
      </c>
      <c r="DE469" s="30">
        <f t="shared" si="179"/>
        <v>154.5</v>
      </c>
      <c r="DF469" s="30">
        <f t="shared" si="180"/>
        <v>33</v>
      </c>
      <c r="DG469" s="30">
        <f t="shared" si="181"/>
        <v>517.5</v>
      </c>
      <c r="DH469" s="30">
        <f t="shared" si="182"/>
        <v>187.5</v>
      </c>
      <c r="DI469" s="30">
        <f t="shared" si="183"/>
        <v>270</v>
      </c>
      <c r="DJ469" s="30">
        <f t="shared" si="184"/>
        <v>0</v>
      </c>
      <c r="DK469" s="30">
        <f t="shared" si="185"/>
        <v>57</v>
      </c>
      <c r="DL469" s="30">
        <f t="shared" si="186"/>
        <v>0</v>
      </c>
      <c r="DM469" s="30">
        <f t="shared" si="187"/>
        <v>264</v>
      </c>
      <c r="DN469" s="30">
        <f t="shared" si="188"/>
        <v>0</v>
      </c>
      <c r="DO469" s="30">
        <f t="shared" si="189"/>
        <v>154.5</v>
      </c>
      <c r="DP469" s="30">
        <f t="shared" si="190"/>
        <v>49.5</v>
      </c>
      <c r="DQ469" s="30">
        <f t="shared" si="191"/>
        <v>0</v>
      </c>
    </row>
    <row r="470">
      <c r="B470" s="9" t="s">
        <v>27</v>
      </c>
      <c r="C470" s="30">
        <v>88.5</v>
      </c>
      <c r="D470" s="30">
        <v>69.0</v>
      </c>
      <c r="E470" s="30">
        <v>85.5</v>
      </c>
      <c r="F470" s="30">
        <v>4.5</v>
      </c>
      <c r="G470" s="30">
        <v>6.0</v>
      </c>
      <c r="H470" s="30">
        <v>3.0</v>
      </c>
      <c r="I470" s="30">
        <v>1.5</v>
      </c>
      <c r="J470" s="30">
        <v>3.0</v>
      </c>
      <c r="K470" s="30">
        <v>85.5</v>
      </c>
      <c r="L470" s="30">
        <v>3.0</v>
      </c>
      <c r="M470" s="30">
        <v>4.5</v>
      </c>
      <c r="N470" s="30">
        <v>60.0</v>
      </c>
      <c r="O470" s="30">
        <v>3.0</v>
      </c>
      <c r="P470" s="30">
        <v>88.5</v>
      </c>
      <c r="Q470" s="30">
        <v>3.0</v>
      </c>
      <c r="R470" s="30">
        <v>1.5</v>
      </c>
      <c r="S470" s="30">
        <v>1.5</v>
      </c>
      <c r="T470" s="30">
        <v>87.0</v>
      </c>
      <c r="U470" s="30">
        <v>1.5</v>
      </c>
      <c r="V470" s="30">
        <v>87.0</v>
      </c>
      <c r="W470" s="30">
        <v>1.5</v>
      </c>
      <c r="X470" s="30">
        <v>87.0</v>
      </c>
      <c r="Y470" s="30">
        <v>76.5</v>
      </c>
      <c r="Z470" s="30">
        <v>1.5</v>
      </c>
      <c r="AA470" s="30">
        <v>1.5</v>
      </c>
      <c r="AB470" s="30">
        <v>88.5</v>
      </c>
      <c r="AC470" s="30">
        <v>1.5</v>
      </c>
      <c r="AD470" s="30">
        <v>3.0</v>
      </c>
      <c r="AE470" s="30">
        <v>3.0</v>
      </c>
      <c r="AF470" s="30">
        <v>3.0</v>
      </c>
      <c r="AG470" s="30">
        <v>24.0</v>
      </c>
      <c r="AH470" s="30">
        <v>1.5</v>
      </c>
      <c r="AI470" s="30">
        <v>88.5</v>
      </c>
      <c r="AJ470" s="30">
        <v>88.5</v>
      </c>
      <c r="AK470" s="30">
        <v>88.5</v>
      </c>
      <c r="AL470" s="30">
        <v>88.5</v>
      </c>
      <c r="AM470" s="30">
        <v>1.5</v>
      </c>
      <c r="AN470" s="30">
        <v>1.5</v>
      </c>
      <c r="AO470" s="30">
        <v>3.0</v>
      </c>
      <c r="AP470" s="30">
        <v>33.0</v>
      </c>
      <c r="AQ470" s="30">
        <v>19.5</v>
      </c>
      <c r="AR470" s="30">
        <v>76.5</v>
      </c>
      <c r="AS470" s="30">
        <v>1.5</v>
      </c>
      <c r="AT470" s="30">
        <v>1.5</v>
      </c>
      <c r="AU470" s="30">
        <v>88.5</v>
      </c>
      <c r="AV470" s="30">
        <v>0.0</v>
      </c>
      <c r="AW470" s="30">
        <v>1.5</v>
      </c>
      <c r="AX470" s="30">
        <v>1.5</v>
      </c>
      <c r="AY470" s="30">
        <v>1.5</v>
      </c>
      <c r="AZ470" s="30">
        <v>88.5</v>
      </c>
      <c r="BA470" s="30">
        <v>1.5</v>
      </c>
      <c r="BB470" s="30">
        <v>88.5</v>
      </c>
      <c r="BC470" s="30">
        <v>1.5</v>
      </c>
      <c r="BD470" s="30">
        <v>1.5</v>
      </c>
      <c r="BE470" s="30">
        <v>3.0</v>
      </c>
      <c r="BF470" s="30">
        <v>3.0</v>
      </c>
      <c r="BG470" s="30">
        <v>88.5</v>
      </c>
      <c r="BH470" s="30">
        <v>1.5</v>
      </c>
      <c r="BI470" s="30">
        <v>1.5</v>
      </c>
      <c r="BJ470" s="30">
        <v>9.0</v>
      </c>
      <c r="BK470" s="30">
        <v>3.0</v>
      </c>
      <c r="BL470" s="30">
        <v>1.5</v>
      </c>
      <c r="BM470" s="30">
        <v>40.5</v>
      </c>
      <c r="BN470" s="30">
        <v>1.5</v>
      </c>
      <c r="BO470" s="30">
        <v>3.0</v>
      </c>
      <c r="BP470" s="30">
        <v>1.5</v>
      </c>
      <c r="BQ470" s="30">
        <v>1.5</v>
      </c>
      <c r="BR470" s="30">
        <v>1.5</v>
      </c>
      <c r="BS470" s="30">
        <v>1.5</v>
      </c>
      <c r="BT470" s="30">
        <v>1.5</v>
      </c>
      <c r="BU470" s="30">
        <v>64.5</v>
      </c>
      <c r="BV470" s="30">
        <v>1.5</v>
      </c>
      <c r="BW470" s="30">
        <v>88.5</v>
      </c>
      <c r="BX470" s="30">
        <v>1.5</v>
      </c>
      <c r="BY470" s="30">
        <v>64.5</v>
      </c>
      <c r="BZ470" s="30">
        <v>3.0</v>
      </c>
      <c r="CA470" s="30">
        <v>60.0</v>
      </c>
      <c r="CB470" s="30">
        <v>81.0</v>
      </c>
      <c r="CC470" s="30">
        <v>3.0</v>
      </c>
      <c r="CD470" s="30">
        <v>60.0</v>
      </c>
      <c r="CE470" s="30">
        <v>82.5</v>
      </c>
      <c r="CF470" s="30">
        <v>46.5</v>
      </c>
      <c r="CG470" s="30">
        <v>1.5</v>
      </c>
      <c r="CH470" s="30">
        <v>0.0</v>
      </c>
      <c r="CI470" s="30">
        <v>1.5</v>
      </c>
      <c r="CJ470" s="30">
        <v>88.5</v>
      </c>
      <c r="CK470" s="30">
        <v>1.5</v>
      </c>
      <c r="CL470" s="30">
        <v>1.5</v>
      </c>
      <c r="CM470" s="30">
        <v>1.5</v>
      </c>
      <c r="CN470" s="30">
        <v>1.5</v>
      </c>
      <c r="CO470" s="30">
        <v>88.5</v>
      </c>
      <c r="CP470" s="30">
        <v>1.5</v>
      </c>
      <c r="CQ470" s="30">
        <v>0.0</v>
      </c>
      <c r="CR470" s="30">
        <v>3.0</v>
      </c>
      <c r="CV470" s="30">
        <f t="shared" si="170"/>
        <v>360</v>
      </c>
      <c r="CW470" s="30">
        <f t="shared" si="171"/>
        <v>168</v>
      </c>
      <c r="CX470" s="30">
        <f t="shared" si="172"/>
        <v>237</v>
      </c>
      <c r="CY470" s="30">
        <f t="shared" si="173"/>
        <v>150</v>
      </c>
      <c r="CZ470" s="30">
        <f t="shared" si="174"/>
        <v>130.5</v>
      </c>
      <c r="DA470" s="30">
        <f t="shared" si="175"/>
        <v>91.5</v>
      </c>
      <c r="DB470" s="30">
        <f t="shared" si="176"/>
        <v>9</v>
      </c>
      <c r="DC470" s="30">
        <f t="shared" si="177"/>
        <v>52.5</v>
      </c>
      <c r="DD470" s="30">
        <f t="shared" si="178"/>
        <v>264</v>
      </c>
      <c r="DE470" s="30">
        <f t="shared" si="179"/>
        <v>228</v>
      </c>
      <c r="DF470" s="30">
        <f t="shared" si="180"/>
        <v>28.5</v>
      </c>
      <c r="DG470" s="30">
        <f t="shared" si="181"/>
        <v>504</v>
      </c>
      <c r="DH470" s="30">
        <f t="shared" si="182"/>
        <v>132</v>
      </c>
      <c r="DI470" s="30">
        <f t="shared" si="183"/>
        <v>196.5</v>
      </c>
      <c r="DJ470" s="30">
        <f t="shared" si="184"/>
        <v>7.5</v>
      </c>
      <c r="DK470" s="30">
        <f t="shared" si="185"/>
        <v>6</v>
      </c>
      <c r="DL470" s="30">
        <f t="shared" si="186"/>
        <v>7.5</v>
      </c>
      <c r="DM470" s="30">
        <f t="shared" si="187"/>
        <v>265.5</v>
      </c>
      <c r="DN470" s="30">
        <f t="shared" si="188"/>
        <v>4.5</v>
      </c>
      <c r="DO470" s="30">
        <f t="shared" si="189"/>
        <v>228</v>
      </c>
      <c r="DP470" s="30">
        <f t="shared" si="190"/>
        <v>39</v>
      </c>
      <c r="DQ470" s="30">
        <f t="shared" si="191"/>
        <v>90</v>
      </c>
    </row>
    <row r="471">
      <c r="B471" s="9" t="s">
        <v>28</v>
      </c>
      <c r="C471" s="30">
        <v>87.0</v>
      </c>
      <c r="D471" s="30">
        <v>88.5</v>
      </c>
      <c r="E471" s="30">
        <v>87.0</v>
      </c>
      <c r="F471" s="30">
        <v>16.5</v>
      </c>
      <c r="G471" s="30">
        <v>87.0</v>
      </c>
      <c r="H471" s="30">
        <v>1.5</v>
      </c>
      <c r="I471" s="30">
        <v>87.0</v>
      </c>
      <c r="J471" s="30">
        <v>3.0</v>
      </c>
      <c r="K471" s="30">
        <v>37.5</v>
      </c>
      <c r="L471" s="30">
        <v>1.5</v>
      </c>
      <c r="M471" s="30">
        <v>3.0</v>
      </c>
      <c r="N471" s="30">
        <v>88.5</v>
      </c>
      <c r="O471" s="30">
        <v>6.0</v>
      </c>
      <c r="P471" s="30">
        <v>87.0</v>
      </c>
      <c r="Q471" s="30">
        <v>87.0</v>
      </c>
      <c r="R471" s="30">
        <v>135.0</v>
      </c>
      <c r="S471" s="30">
        <v>3.0</v>
      </c>
      <c r="T471" s="30">
        <v>88.5</v>
      </c>
      <c r="U471" s="30">
        <v>34.5</v>
      </c>
      <c r="V471" s="30">
        <v>88.5</v>
      </c>
      <c r="W471" s="30">
        <v>3.0</v>
      </c>
      <c r="X471" s="30">
        <v>88.5</v>
      </c>
      <c r="Y471" s="30">
        <v>61.5</v>
      </c>
      <c r="Z471" s="30">
        <v>3.0</v>
      </c>
      <c r="AA471" s="30">
        <v>3.0</v>
      </c>
      <c r="AB471" s="30">
        <v>88.5</v>
      </c>
      <c r="AC471" s="30">
        <v>21.0</v>
      </c>
      <c r="AD471" s="30">
        <v>3.0</v>
      </c>
      <c r="AE471" s="30">
        <v>1.5</v>
      </c>
      <c r="AF471" s="30">
        <v>3.0</v>
      </c>
      <c r="AG471" s="30">
        <v>1.5</v>
      </c>
      <c r="AH471" s="30">
        <v>1.5</v>
      </c>
      <c r="AI471" s="30">
        <v>85.5</v>
      </c>
      <c r="AJ471" s="30">
        <v>88.5</v>
      </c>
      <c r="AK471" s="30">
        <v>88.5</v>
      </c>
      <c r="AL471" s="30">
        <v>88.5</v>
      </c>
      <c r="AM471" s="30">
        <v>3.0</v>
      </c>
      <c r="AN471" s="30">
        <v>3.0</v>
      </c>
      <c r="AO471" s="30">
        <v>88.5</v>
      </c>
      <c r="AP471" s="30">
        <v>28.5</v>
      </c>
      <c r="AQ471" s="30">
        <v>88.5</v>
      </c>
      <c r="AR471" s="30">
        <v>87.0</v>
      </c>
      <c r="AS471" s="30">
        <v>52.5</v>
      </c>
      <c r="AT471" s="30">
        <v>3.0</v>
      </c>
      <c r="AU471" s="30">
        <v>87.0</v>
      </c>
      <c r="AV471" s="30">
        <v>3.0</v>
      </c>
      <c r="AW471" s="30">
        <v>1.5</v>
      </c>
      <c r="AX471" s="30">
        <v>88.5</v>
      </c>
      <c r="AY471" s="30">
        <v>88.5</v>
      </c>
      <c r="AZ471" s="30">
        <v>87.0</v>
      </c>
      <c r="BA471" s="30">
        <v>1.5</v>
      </c>
      <c r="BB471" s="30">
        <v>87.0</v>
      </c>
      <c r="BC471" s="30">
        <v>3.0</v>
      </c>
      <c r="BD471" s="30">
        <v>1.5</v>
      </c>
      <c r="BE471" s="30">
        <v>87.0</v>
      </c>
      <c r="BF471" s="30">
        <v>3.0</v>
      </c>
      <c r="BG471" s="30">
        <v>87.0</v>
      </c>
      <c r="BH471" s="30">
        <v>3.0</v>
      </c>
      <c r="BI471" s="30">
        <v>3.0</v>
      </c>
      <c r="BJ471" s="30">
        <v>88.5</v>
      </c>
      <c r="BK471" s="30">
        <v>3.0</v>
      </c>
      <c r="BL471" s="30">
        <v>88.5</v>
      </c>
      <c r="BM471" s="30">
        <v>87.0</v>
      </c>
      <c r="BN471" s="30">
        <v>3.0</v>
      </c>
      <c r="BO471" s="30">
        <v>3.0</v>
      </c>
      <c r="BP471" s="30">
        <v>87.0</v>
      </c>
      <c r="BQ471" s="30">
        <v>16.5</v>
      </c>
      <c r="BR471" s="30">
        <v>4.5</v>
      </c>
      <c r="BS471" s="30">
        <v>45.0</v>
      </c>
      <c r="BT471" s="30">
        <v>46.5</v>
      </c>
      <c r="BU471" s="30">
        <v>87.0</v>
      </c>
      <c r="BV471" s="30">
        <v>88.5</v>
      </c>
      <c r="BW471" s="30">
        <v>87.0</v>
      </c>
      <c r="BX471" s="30">
        <v>88.5</v>
      </c>
      <c r="BY471" s="30">
        <v>3.0</v>
      </c>
      <c r="BZ471" s="30">
        <v>19.5</v>
      </c>
      <c r="CA471" s="30">
        <v>88.5</v>
      </c>
      <c r="CB471" s="30">
        <v>58.5</v>
      </c>
      <c r="CC471" s="30">
        <v>13.5</v>
      </c>
      <c r="CD471" s="30">
        <v>3.0</v>
      </c>
      <c r="CE471" s="30">
        <v>87.0</v>
      </c>
      <c r="CF471" s="30">
        <v>87.0</v>
      </c>
      <c r="CG471" s="30">
        <v>3.0</v>
      </c>
      <c r="CH471" s="30">
        <v>4.5</v>
      </c>
      <c r="CI471" s="30">
        <v>4.5</v>
      </c>
      <c r="CJ471" s="30">
        <v>87.0</v>
      </c>
      <c r="CK471" s="30">
        <v>87.0</v>
      </c>
      <c r="CL471" s="30">
        <v>87.0</v>
      </c>
      <c r="CM471" s="30">
        <v>1.5</v>
      </c>
      <c r="CN471" s="30">
        <v>87.0</v>
      </c>
      <c r="CO471" s="30">
        <v>88.5</v>
      </c>
      <c r="CP471" s="30">
        <v>88.5</v>
      </c>
      <c r="CQ471" s="30">
        <v>87.0</v>
      </c>
      <c r="CR471" s="30">
        <v>3.0</v>
      </c>
      <c r="CV471" s="30">
        <f t="shared" si="170"/>
        <v>439.5</v>
      </c>
      <c r="CW471" s="30">
        <f t="shared" si="171"/>
        <v>129</v>
      </c>
      <c r="CX471" s="30">
        <f t="shared" si="172"/>
        <v>264</v>
      </c>
      <c r="CY471" s="30">
        <f t="shared" si="173"/>
        <v>220.5</v>
      </c>
      <c r="CZ471" s="30">
        <f t="shared" si="174"/>
        <v>264</v>
      </c>
      <c r="DA471" s="30">
        <f t="shared" si="175"/>
        <v>106.5</v>
      </c>
      <c r="DB471" s="30">
        <f t="shared" si="176"/>
        <v>64.5</v>
      </c>
      <c r="DC471" s="30">
        <f t="shared" si="177"/>
        <v>189</v>
      </c>
      <c r="DD471" s="30">
        <f t="shared" si="178"/>
        <v>261</v>
      </c>
      <c r="DE471" s="30">
        <f t="shared" si="179"/>
        <v>153</v>
      </c>
      <c r="DF471" s="30">
        <f t="shared" si="180"/>
        <v>6</v>
      </c>
      <c r="DG471" s="30">
        <f t="shared" si="181"/>
        <v>562.5</v>
      </c>
      <c r="DH471" s="30">
        <f t="shared" si="182"/>
        <v>399</v>
      </c>
      <c r="DI471" s="30">
        <f t="shared" si="183"/>
        <v>264</v>
      </c>
      <c r="DJ471" s="30">
        <f t="shared" si="184"/>
        <v>69</v>
      </c>
      <c r="DK471" s="30">
        <f t="shared" si="185"/>
        <v>127.5</v>
      </c>
      <c r="DL471" s="30">
        <f t="shared" si="186"/>
        <v>6</v>
      </c>
      <c r="DM471" s="30">
        <f t="shared" si="187"/>
        <v>264</v>
      </c>
      <c r="DN471" s="30">
        <f t="shared" si="188"/>
        <v>175.5</v>
      </c>
      <c r="DO471" s="30">
        <f t="shared" si="189"/>
        <v>153</v>
      </c>
      <c r="DP471" s="30">
        <f t="shared" si="190"/>
        <v>703.5</v>
      </c>
      <c r="DQ471" s="30">
        <f t="shared" si="191"/>
        <v>204</v>
      </c>
    </row>
    <row r="472">
      <c r="B472" s="8" t="s">
        <v>29</v>
      </c>
      <c r="C472" s="30">
        <v>78.0</v>
      </c>
      <c r="D472" s="30">
        <v>48.0</v>
      </c>
      <c r="E472" s="30">
        <v>70.5</v>
      </c>
      <c r="F472" s="30">
        <v>7.5</v>
      </c>
      <c r="G472" s="30">
        <v>16.5</v>
      </c>
      <c r="H472" s="30">
        <v>48.0</v>
      </c>
      <c r="I472" s="30">
        <v>81.0</v>
      </c>
      <c r="J472" s="30">
        <v>64.5</v>
      </c>
      <c r="K472" s="30">
        <v>78.0</v>
      </c>
      <c r="L472" s="30">
        <v>6.0</v>
      </c>
      <c r="M472" s="30">
        <v>7.5</v>
      </c>
      <c r="N472" s="30">
        <v>70.5</v>
      </c>
      <c r="O472" s="30">
        <v>12.0</v>
      </c>
      <c r="P472" s="30">
        <v>84.0</v>
      </c>
      <c r="Q472" s="30">
        <v>60.0</v>
      </c>
      <c r="R472" s="30">
        <v>60.0</v>
      </c>
      <c r="S472" s="30">
        <v>9.0</v>
      </c>
      <c r="T472" s="30">
        <v>70.5</v>
      </c>
      <c r="U472" s="30">
        <v>39.0</v>
      </c>
      <c r="V472" s="30">
        <v>76.5</v>
      </c>
      <c r="W472" s="30">
        <v>43.5</v>
      </c>
      <c r="X472" s="30">
        <v>82.5</v>
      </c>
      <c r="Y472" s="30">
        <v>88.5</v>
      </c>
      <c r="Z472" s="30">
        <v>25.5</v>
      </c>
      <c r="AA472" s="30">
        <v>18.0</v>
      </c>
      <c r="AB472" s="30">
        <v>67.5</v>
      </c>
      <c r="AC472" s="30">
        <v>15.0</v>
      </c>
      <c r="AD472" s="30">
        <v>10.5</v>
      </c>
      <c r="AE472" s="30">
        <v>16.5</v>
      </c>
      <c r="AF472" s="30">
        <v>7.5</v>
      </c>
      <c r="AG472" s="30">
        <v>13.5</v>
      </c>
      <c r="AH472" s="30">
        <v>0.0</v>
      </c>
      <c r="AI472" s="30">
        <v>76.5</v>
      </c>
      <c r="AJ472" s="30">
        <v>73.5</v>
      </c>
      <c r="AK472" s="30">
        <v>90.0</v>
      </c>
      <c r="AL472" s="30">
        <v>82.5</v>
      </c>
      <c r="AM472" s="30">
        <v>31.5</v>
      </c>
      <c r="AN472" s="30">
        <v>18.0</v>
      </c>
      <c r="AO472" s="30">
        <v>87.0</v>
      </c>
      <c r="AP472" s="30">
        <v>78.0</v>
      </c>
      <c r="AQ472" s="30">
        <v>58.5</v>
      </c>
      <c r="AR472" s="30">
        <v>82.5</v>
      </c>
      <c r="AS472" s="30">
        <v>67.5</v>
      </c>
      <c r="AT472" s="30">
        <v>10.5</v>
      </c>
      <c r="AU472" s="30">
        <v>63.0</v>
      </c>
      <c r="AV472" s="30">
        <v>7.5</v>
      </c>
      <c r="AW472" s="30">
        <v>21.0</v>
      </c>
      <c r="AX472" s="30">
        <v>15.0</v>
      </c>
      <c r="AY472" s="30">
        <v>4.5</v>
      </c>
      <c r="AZ472" s="30">
        <v>90.0</v>
      </c>
      <c r="BA472" s="30">
        <v>7.5</v>
      </c>
      <c r="BB472" s="30">
        <v>36.0</v>
      </c>
      <c r="BC472" s="30">
        <v>3.0</v>
      </c>
      <c r="BD472" s="30">
        <v>9.0</v>
      </c>
      <c r="BE472" s="30">
        <v>51.0</v>
      </c>
      <c r="BF472" s="30">
        <v>72.0</v>
      </c>
      <c r="BG472" s="30">
        <v>90.0</v>
      </c>
      <c r="BH472" s="30">
        <v>7.5</v>
      </c>
      <c r="BI472" s="30">
        <v>67.5</v>
      </c>
      <c r="BJ472" s="30">
        <v>33.0</v>
      </c>
      <c r="BK472" s="30">
        <v>10.5</v>
      </c>
      <c r="BL472" s="30">
        <v>33.0</v>
      </c>
      <c r="BM472" s="30">
        <v>52.5</v>
      </c>
      <c r="BN472" s="30">
        <v>16.5</v>
      </c>
      <c r="BO472" s="30">
        <v>12.0</v>
      </c>
      <c r="BP472" s="30">
        <v>15.0</v>
      </c>
      <c r="BQ472" s="30">
        <v>48.0</v>
      </c>
      <c r="BR472" s="30">
        <v>4.5</v>
      </c>
      <c r="BS472" s="30">
        <v>48.0</v>
      </c>
      <c r="BT472" s="30">
        <v>10.5</v>
      </c>
      <c r="BU472" s="30">
        <v>72.0</v>
      </c>
      <c r="BV472" s="30">
        <v>6.0</v>
      </c>
      <c r="BW472" s="30">
        <v>79.5</v>
      </c>
      <c r="BX472" s="30">
        <v>34.5</v>
      </c>
      <c r="BY472" s="30">
        <v>70.5</v>
      </c>
      <c r="BZ472" s="30">
        <v>18.0</v>
      </c>
      <c r="CA472" s="30">
        <v>66.0</v>
      </c>
      <c r="CB472" s="30">
        <v>64.5</v>
      </c>
      <c r="CC472" s="30">
        <v>13.5</v>
      </c>
      <c r="CD472" s="30">
        <v>4.5</v>
      </c>
      <c r="CE472" s="30">
        <v>81.0</v>
      </c>
      <c r="CF472" s="30">
        <v>75.0</v>
      </c>
      <c r="CG472" s="30">
        <v>1.5</v>
      </c>
      <c r="CH472" s="30">
        <v>1.5</v>
      </c>
      <c r="CI472" s="30">
        <v>3.0</v>
      </c>
      <c r="CJ472" s="30">
        <v>79.5</v>
      </c>
      <c r="CK472" s="30">
        <v>9.0</v>
      </c>
      <c r="CL472" s="30">
        <v>58.5</v>
      </c>
      <c r="CM472" s="30">
        <v>34.5</v>
      </c>
      <c r="CN472" s="30">
        <v>55.5</v>
      </c>
      <c r="CO472" s="30">
        <v>48.0</v>
      </c>
      <c r="CP472" s="30">
        <v>24.0</v>
      </c>
      <c r="CQ472" s="30">
        <v>49.5</v>
      </c>
      <c r="CR472" s="30">
        <v>28.5</v>
      </c>
      <c r="CV472" s="30">
        <f t="shared" si="170"/>
        <v>321</v>
      </c>
      <c r="CW472" s="30">
        <f t="shared" si="171"/>
        <v>160.5</v>
      </c>
      <c r="CX472" s="30">
        <f t="shared" si="172"/>
        <v>198</v>
      </c>
      <c r="CY472" s="30">
        <f t="shared" si="173"/>
        <v>204</v>
      </c>
      <c r="CZ472" s="30">
        <f t="shared" si="174"/>
        <v>153</v>
      </c>
      <c r="DA472" s="30">
        <f t="shared" si="175"/>
        <v>247.5</v>
      </c>
      <c r="DB472" s="30">
        <f t="shared" si="176"/>
        <v>192</v>
      </c>
      <c r="DC472" s="30">
        <f t="shared" si="177"/>
        <v>175.5</v>
      </c>
      <c r="DD472" s="30">
        <f t="shared" si="178"/>
        <v>243</v>
      </c>
      <c r="DE472" s="30">
        <f t="shared" si="179"/>
        <v>235.5</v>
      </c>
      <c r="DF472" s="30">
        <f t="shared" si="180"/>
        <v>33</v>
      </c>
      <c r="DG472" s="30">
        <f t="shared" si="181"/>
        <v>471</v>
      </c>
      <c r="DH472" s="30">
        <f t="shared" si="182"/>
        <v>213</v>
      </c>
      <c r="DI472" s="30">
        <f t="shared" si="183"/>
        <v>177</v>
      </c>
      <c r="DJ472" s="30">
        <f t="shared" si="184"/>
        <v>148.5</v>
      </c>
      <c r="DK472" s="30">
        <f t="shared" si="185"/>
        <v>139.5</v>
      </c>
      <c r="DL472" s="30">
        <f t="shared" si="186"/>
        <v>154.5</v>
      </c>
      <c r="DM472" s="30">
        <f t="shared" si="187"/>
        <v>244.5</v>
      </c>
      <c r="DN472" s="30">
        <f t="shared" si="188"/>
        <v>168</v>
      </c>
      <c r="DO472" s="30">
        <f t="shared" si="189"/>
        <v>235.5</v>
      </c>
      <c r="DP472" s="30">
        <f t="shared" si="190"/>
        <v>316.5</v>
      </c>
      <c r="DQ472" s="30">
        <f t="shared" si="191"/>
        <v>288</v>
      </c>
    </row>
    <row r="473">
      <c r="B473" s="8" t="s">
        <v>30</v>
      </c>
      <c r="C473" s="30">
        <v>90.0</v>
      </c>
      <c r="D473" s="30">
        <v>0.0</v>
      </c>
      <c r="E473" s="30">
        <v>46.5</v>
      </c>
      <c r="F473" s="30">
        <v>0.0</v>
      </c>
      <c r="G473" s="30">
        <v>0.0</v>
      </c>
      <c r="H473" s="30">
        <v>0.0</v>
      </c>
      <c r="I473" s="30">
        <v>90.0</v>
      </c>
      <c r="J473" s="30">
        <v>0.0</v>
      </c>
      <c r="K473" s="30">
        <v>0.0</v>
      </c>
      <c r="L473" s="30">
        <v>0.0</v>
      </c>
      <c r="M473" s="30">
        <v>0.0</v>
      </c>
      <c r="N473" s="30">
        <v>52.5</v>
      </c>
      <c r="O473" s="30">
        <v>0.0</v>
      </c>
      <c r="P473" s="30">
        <v>90.0</v>
      </c>
      <c r="Q473" s="30">
        <v>45.0</v>
      </c>
      <c r="R473" s="30">
        <v>42.0</v>
      </c>
      <c r="S473" s="30">
        <v>16.5</v>
      </c>
      <c r="T473" s="30">
        <v>0.0</v>
      </c>
      <c r="U473" s="30">
        <v>0.0</v>
      </c>
      <c r="V473" s="30">
        <v>75.0</v>
      </c>
      <c r="W473" s="30">
        <v>22.5</v>
      </c>
      <c r="X473" s="30">
        <v>67.5</v>
      </c>
      <c r="Y473" s="30">
        <v>15.0</v>
      </c>
      <c r="Z473" s="30">
        <v>13.5</v>
      </c>
      <c r="AA473" s="30">
        <v>0.0</v>
      </c>
      <c r="AB473" s="30">
        <v>18.0</v>
      </c>
      <c r="AC473" s="30">
        <v>0.0</v>
      </c>
      <c r="AD473" s="30">
        <v>72.0</v>
      </c>
      <c r="AE473" s="30">
        <v>0.0</v>
      </c>
      <c r="AF473" s="30">
        <v>0.0</v>
      </c>
      <c r="AG473" s="30">
        <v>72.0</v>
      </c>
      <c r="AH473" s="30">
        <v>0.0</v>
      </c>
      <c r="AI473" s="30">
        <v>75.0</v>
      </c>
      <c r="AJ473" s="30">
        <v>57.0</v>
      </c>
      <c r="AK473" s="30">
        <v>76.5</v>
      </c>
      <c r="AL473" s="30">
        <v>72.0</v>
      </c>
      <c r="AM473" s="30">
        <v>15.0</v>
      </c>
      <c r="AN473" s="30">
        <v>52.5</v>
      </c>
      <c r="AO473" s="30">
        <v>67.5</v>
      </c>
      <c r="AP473" s="30">
        <v>24.0</v>
      </c>
      <c r="AQ473" s="30">
        <v>0.0</v>
      </c>
      <c r="AR473" s="30">
        <v>22.5</v>
      </c>
      <c r="AS473" s="30">
        <v>34.5</v>
      </c>
      <c r="AT473" s="30">
        <v>21.0</v>
      </c>
      <c r="AU473" s="30">
        <v>43.5</v>
      </c>
      <c r="AV473" s="30">
        <v>30.0</v>
      </c>
      <c r="AW473" s="30">
        <v>1.5</v>
      </c>
      <c r="AX473" s="30">
        <v>0.0</v>
      </c>
      <c r="AY473" s="30">
        <v>0.0</v>
      </c>
      <c r="AZ473" s="30">
        <v>24.0</v>
      </c>
      <c r="BA473" s="30">
        <v>22.5</v>
      </c>
      <c r="BB473" s="30">
        <v>0.0</v>
      </c>
      <c r="BC473" s="30">
        <v>0.0</v>
      </c>
      <c r="BD473" s="30">
        <v>0.0</v>
      </c>
      <c r="BE473" s="30">
        <v>0.0</v>
      </c>
      <c r="BF473" s="30">
        <v>0.0</v>
      </c>
      <c r="BG473" s="30">
        <v>90.0</v>
      </c>
      <c r="BH473" s="30">
        <v>0.0</v>
      </c>
      <c r="BI473" s="30">
        <v>0.0</v>
      </c>
      <c r="BJ473" s="30">
        <v>0.0</v>
      </c>
      <c r="BK473" s="30">
        <v>0.0</v>
      </c>
      <c r="BL473" s="30">
        <v>0.0</v>
      </c>
      <c r="BM473" s="30">
        <v>0.0</v>
      </c>
      <c r="BN473" s="30">
        <v>16.5</v>
      </c>
      <c r="BO473" s="30">
        <v>0.0</v>
      </c>
      <c r="BP473" s="30">
        <v>0.0</v>
      </c>
      <c r="BQ473" s="30">
        <v>51.0</v>
      </c>
      <c r="BR473" s="30">
        <v>0.0</v>
      </c>
      <c r="BS473" s="30">
        <v>0.0</v>
      </c>
      <c r="BT473" s="30">
        <v>16.5</v>
      </c>
      <c r="BU473" s="30">
        <v>54.0</v>
      </c>
      <c r="BV473" s="30">
        <v>67.5</v>
      </c>
      <c r="BW473" s="30">
        <v>72.0</v>
      </c>
      <c r="BX473" s="30">
        <v>0.0</v>
      </c>
      <c r="BY473" s="30">
        <v>79.5</v>
      </c>
      <c r="BZ473" s="30">
        <v>33.0</v>
      </c>
      <c r="CA473" s="30">
        <v>39.0</v>
      </c>
      <c r="CB473" s="30">
        <v>22.5</v>
      </c>
      <c r="CC473" s="30">
        <v>33.0</v>
      </c>
      <c r="CD473" s="30">
        <v>30.0</v>
      </c>
      <c r="CE473" s="30">
        <v>69.0</v>
      </c>
      <c r="CF473" s="30">
        <v>66.0</v>
      </c>
      <c r="CG473" s="30">
        <v>64.5</v>
      </c>
      <c r="CH473" s="30">
        <v>12.0</v>
      </c>
      <c r="CI473" s="30">
        <v>1.5</v>
      </c>
      <c r="CJ473" s="30">
        <v>57.0</v>
      </c>
      <c r="CK473" s="30">
        <v>49.5</v>
      </c>
      <c r="CL473" s="30">
        <v>90.0</v>
      </c>
      <c r="CM473" s="30">
        <v>13.5</v>
      </c>
      <c r="CN473" s="30">
        <v>57.0</v>
      </c>
      <c r="CO473" s="30">
        <v>13.5</v>
      </c>
      <c r="CP473" s="30">
        <v>0.0</v>
      </c>
      <c r="CQ473" s="30">
        <v>0.0</v>
      </c>
      <c r="CR473" s="30">
        <v>19.5</v>
      </c>
      <c r="CV473" s="30">
        <f t="shared" si="170"/>
        <v>79.5</v>
      </c>
      <c r="CW473" s="30">
        <f t="shared" si="171"/>
        <v>81</v>
      </c>
      <c r="CX473" s="30">
        <f t="shared" si="172"/>
        <v>123</v>
      </c>
      <c r="CY473" s="30">
        <f t="shared" si="173"/>
        <v>63</v>
      </c>
      <c r="CZ473" s="30">
        <f t="shared" si="174"/>
        <v>18</v>
      </c>
      <c r="DA473" s="30">
        <f t="shared" si="175"/>
        <v>144</v>
      </c>
      <c r="DB473" s="30">
        <f t="shared" si="176"/>
        <v>99</v>
      </c>
      <c r="DC473" s="30">
        <f t="shared" si="177"/>
        <v>166.5</v>
      </c>
      <c r="DD473" s="30">
        <f t="shared" si="178"/>
        <v>232.5</v>
      </c>
      <c r="DE473" s="30">
        <f t="shared" si="179"/>
        <v>169.5</v>
      </c>
      <c r="DF473" s="30">
        <f t="shared" si="180"/>
        <v>144</v>
      </c>
      <c r="DG473" s="30">
        <f t="shared" si="181"/>
        <v>340.5</v>
      </c>
      <c r="DH473" s="30">
        <f t="shared" si="182"/>
        <v>60</v>
      </c>
      <c r="DI473" s="30">
        <f t="shared" si="183"/>
        <v>72</v>
      </c>
      <c r="DJ473" s="30">
        <f t="shared" si="184"/>
        <v>126</v>
      </c>
      <c r="DK473" s="30">
        <f t="shared" si="185"/>
        <v>193.5</v>
      </c>
      <c r="DL473" s="30">
        <f t="shared" si="186"/>
        <v>13.5</v>
      </c>
      <c r="DM473" s="30">
        <f t="shared" si="187"/>
        <v>297</v>
      </c>
      <c r="DN473" s="30">
        <f t="shared" si="188"/>
        <v>157.5</v>
      </c>
      <c r="DO473" s="30">
        <f t="shared" si="189"/>
        <v>169.5</v>
      </c>
      <c r="DP473" s="30">
        <f t="shared" si="190"/>
        <v>33</v>
      </c>
      <c r="DQ473" s="30">
        <f t="shared" si="191"/>
        <v>124.5</v>
      </c>
    </row>
    <row r="474">
      <c r="B474" s="8" t="s">
        <v>31</v>
      </c>
      <c r="C474" s="30">
        <v>12.0</v>
      </c>
      <c r="D474" s="30">
        <v>78.0</v>
      </c>
      <c r="E474" s="30">
        <v>88.5</v>
      </c>
      <c r="F474" s="30">
        <v>7.5</v>
      </c>
      <c r="G474" s="30">
        <v>10.5</v>
      </c>
      <c r="H474" s="30">
        <v>3.0</v>
      </c>
      <c r="I474" s="30">
        <v>90.0</v>
      </c>
      <c r="J474" s="30">
        <v>9.0</v>
      </c>
      <c r="K474" s="30">
        <v>10.5</v>
      </c>
      <c r="L474" s="30">
        <v>0.0</v>
      </c>
      <c r="M474" s="30">
        <v>0.0</v>
      </c>
      <c r="N474" s="30">
        <v>70.5</v>
      </c>
      <c r="O474" s="30">
        <v>0.0</v>
      </c>
      <c r="P474" s="30">
        <v>90.0</v>
      </c>
      <c r="Q474" s="30">
        <v>90.0</v>
      </c>
      <c r="R474" s="30">
        <v>10.5</v>
      </c>
      <c r="S474" s="30">
        <v>79.5</v>
      </c>
      <c r="T474" s="30">
        <v>75.0</v>
      </c>
      <c r="U474" s="30">
        <v>27.0</v>
      </c>
      <c r="V474" s="30">
        <v>72.0</v>
      </c>
      <c r="W474" s="30">
        <v>0.0</v>
      </c>
      <c r="X474" s="30">
        <v>90.0</v>
      </c>
      <c r="Y474" s="30">
        <v>90.0</v>
      </c>
      <c r="Z474" s="30">
        <v>45.0</v>
      </c>
      <c r="AA474" s="30">
        <v>0.0</v>
      </c>
      <c r="AB474" s="30">
        <v>0.0</v>
      </c>
      <c r="AC474" s="30">
        <v>25.5</v>
      </c>
      <c r="AD474" s="30">
        <v>90.0</v>
      </c>
      <c r="AE474" s="30">
        <v>22.5</v>
      </c>
      <c r="AF474" s="30">
        <v>0.0</v>
      </c>
      <c r="AG474" s="30">
        <v>45.0</v>
      </c>
      <c r="AH474" s="30">
        <v>0.0</v>
      </c>
      <c r="AI474" s="30">
        <v>90.0</v>
      </c>
      <c r="AJ474" s="30">
        <v>51.0</v>
      </c>
      <c r="AK474" s="30">
        <v>90.0</v>
      </c>
      <c r="AL474" s="30">
        <v>90.0</v>
      </c>
      <c r="AM474" s="30">
        <v>52.5</v>
      </c>
      <c r="AN474" s="30">
        <v>90.0</v>
      </c>
      <c r="AO474" s="30">
        <v>90.0</v>
      </c>
      <c r="AP474" s="30">
        <v>22.5</v>
      </c>
      <c r="AQ474" s="30">
        <v>78.0</v>
      </c>
      <c r="AR474" s="30">
        <v>90.0</v>
      </c>
      <c r="AS474" s="30">
        <v>0.0</v>
      </c>
      <c r="AT474" s="30">
        <v>21.0</v>
      </c>
      <c r="AU474" s="30">
        <v>73.5</v>
      </c>
      <c r="AV474" s="30">
        <v>0.0</v>
      </c>
      <c r="AW474" s="30">
        <v>0.0</v>
      </c>
      <c r="AX474" s="30">
        <v>15.0</v>
      </c>
      <c r="AY474" s="30">
        <v>12.0</v>
      </c>
      <c r="AZ474" s="30">
        <v>63.0</v>
      </c>
      <c r="BA474" s="30">
        <v>75.0</v>
      </c>
      <c r="BB474" s="30">
        <v>45.0</v>
      </c>
      <c r="BC474" s="30">
        <v>0.0</v>
      </c>
      <c r="BD474" s="30">
        <v>82.5</v>
      </c>
      <c r="BE474" s="30">
        <v>7.5</v>
      </c>
      <c r="BF474" s="30">
        <v>0.0</v>
      </c>
      <c r="BG474" s="30">
        <v>57.0</v>
      </c>
      <c r="BH474" s="30">
        <v>0.0</v>
      </c>
      <c r="BI474" s="30">
        <v>0.0</v>
      </c>
      <c r="BJ474" s="30">
        <v>52.5</v>
      </c>
      <c r="BK474" s="30">
        <v>40.5</v>
      </c>
      <c r="BL474" s="30">
        <v>0.0</v>
      </c>
      <c r="BM474" s="30">
        <v>0.0</v>
      </c>
      <c r="BN474" s="30">
        <v>0.0</v>
      </c>
      <c r="BO474" s="30">
        <v>15.0</v>
      </c>
      <c r="BP474" s="30">
        <v>22.5</v>
      </c>
      <c r="BQ474" s="30">
        <v>18.0</v>
      </c>
      <c r="BR474" s="30">
        <v>0.0</v>
      </c>
      <c r="BS474" s="30">
        <v>0.0</v>
      </c>
      <c r="BT474" s="30">
        <v>0.0</v>
      </c>
      <c r="BU474" s="30">
        <v>51.0</v>
      </c>
      <c r="BV474" s="30">
        <v>64.5</v>
      </c>
      <c r="BW474" s="30">
        <v>72.0</v>
      </c>
      <c r="BX474" s="30">
        <v>6.0</v>
      </c>
      <c r="BY474" s="30">
        <v>63.0</v>
      </c>
      <c r="BZ474" s="30">
        <v>67.5</v>
      </c>
      <c r="CA474" s="30">
        <v>9.0</v>
      </c>
      <c r="CB474" s="30">
        <v>10.5</v>
      </c>
      <c r="CC474" s="30">
        <v>21.0</v>
      </c>
      <c r="CD474" s="30">
        <v>54.0</v>
      </c>
      <c r="CE474" s="30">
        <v>85.5</v>
      </c>
      <c r="CF474" s="30">
        <v>79.5</v>
      </c>
      <c r="CG474" s="30">
        <v>7.5</v>
      </c>
      <c r="CH474" s="30">
        <v>7.5</v>
      </c>
      <c r="CI474" s="30">
        <v>0.0</v>
      </c>
      <c r="CJ474" s="30">
        <v>90.0</v>
      </c>
      <c r="CK474" s="30">
        <v>90.0</v>
      </c>
      <c r="CL474" s="30">
        <v>76.5</v>
      </c>
      <c r="CM474" s="30">
        <v>0.0</v>
      </c>
      <c r="CN474" s="30">
        <v>10.5</v>
      </c>
      <c r="CO474" s="30">
        <v>54.0</v>
      </c>
      <c r="CP474" s="30">
        <v>63.0</v>
      </c>
      <c r="CQ474" s="30">
        <v>13.5</v>
      </c>
      <c r="CR474" s="30">
        <v>78.0</v>
      </c>
      <c r="CV474" s="30">
        <f t="shared" si="170"/>
        <v>339</v>
      </c>
      <c r="CW474" s="30">
        <f t="shared" si="171"/>
        <v>103.5</v>
      </c>
      <c r="CX474" s="30">
        <f t="shared" si="172"/>
        <v>214.5</v>
      </c>
      <c r="CY474" s="30">
        <f t="shared" si="173"/>
        <v>72</v>
      </c>
      <c r="CZ474" s="30">
        <f t="shared" si="174"/>
        <v>0</v>
      </c>
      <c r="DA474" s="30">
        <f t="shared" si="175"/>
        <v>153</v>
      </c>
      <c r="DB474" s="30">
        <f t="shared" si="176"/>
        <v>21</v>
      </c>
      <c r="DC474" s="30">
        <f t="shared" si="177"/>
        <v>190.5</v>
      </c>
      <c r="DD474" s="30">
        <f t="shared" si="178"/>
        <v>270</v>
      </c>
      <c r="DE474" s="30">
        <f t="shared" si="179"/>
        <v>225</v>
      </c>
      <c r="DF474" s="30">
        <f t="shared" si="180"/>
        <v>217.5</v>
      </c>
      <c r="DG474" s="30">
        <f t="shared" si="181"/>
        <v>346.5</v>
      </c>
      <c r="DH474" s="30">
        <f t="shared" si="182"/>
        <v>10.5</v>
      </c>
      <c r="DI474" s="30">
        <f t="shared" si="183"/>
        <v>213</v>
      </c>
      <c r="DJ474" s="30">
        <f t="shared" si="184"/>
        <v>21</v>
      </c>
      <c r="DK474" s="30">
        <f t="shared" si="185"/>
        <v>210</v>
      </c>
      <c r="DL474" s="30">
        <f t="shared" si="186"/>
        <v>3</v>
      </c>
      <c r="DM474" s="30">
        <f t="shared" si="187"/>
        <v>277.5</v>
      </c>
      <c r="DN474" s="30">
        <f t="shared" si="188"/>
        <v>180</v>
      </c>
      <c r="DO474" s="30">
        <f t="shared" si="189"/>
        <v>225</v>
      </c>
      <c r="DP474" s="30">
        <f t="shared" si="190"/>
        <v>244.5</v>
      </c>
      <c r="DQ474" s="30">
        <f t="shared" si="191"/>
        <v>490.5</v>
      </c>
    </row>
    <row r="475">
      <c r="B475" s="8" t="s">
        <v>32</v>
      </c>
      <c r="C475" s="30">
        <v>4.5</v>
      </c>
      <c r="D475" s="30">
        <v>3.0</v>
      </c>
      <c r="E475" s="30">
        <v>85.5</v>
      </c>
      <c r="F475" s="30">
        <v>3.0</v>
      </c>
      <c r="G475" s="30">
        <v>64.5</v>
      </c>
      <c r="H475" s="30">
        <v>3.0</v>
      </c>
      <c r="I475" s="30">
        <v>70.5</v>
      </c>
      <c r="J475" s="30">
        <v>1.5</v>
      </c>
      <c r="K475" s="30">
        <v>61.5</v>
      </c>
      <c r="L475" s="30">
        <v>34.5</v>
      </c>
      <c r="M475" s="30">
        <v>0.0</v>
      </c>
      <c r="N475" s="30">
        <v>76.5</v>
      </c>
      <c r="O475" s="30">
        <v>1.5</v>
      </c>
      <c r="P475" s="30">
        <v>88.5</v>
      </c>
      <c r="Q475" s="30">
        <v>19.5</v>
      </c>
      <c r="R475" s="30">
        <v>51.0</v>
      </c>
      <c r="S475" s="30">
        <v>34.5</v>
      </c>
      <c r="T475" s="30">
        <v>87.0</v>
      </c>
      <c r="U475" s="30">
        <v>1.5</v>
      </c>
      <c r="V475" s="30">
        <v>12.0</v>
      </c>
      <c r="W475" s="30">
        <v>1.5</v>
      </c>
      <c r="X475" s="30">
        <v>88.5</v>
      </c>
      <c r="Y475" s="30">
        <v>6.0</v>
      </c>
      <c r="Z475" s="30">
        <v>15.0</v>
      </c>
      <c r="AA475" s="30">
        <v>3.0</v>
      </c>
      <c r="AB475" s="30">
        <v>88.5</v>
      </c>
      <c r="AC475" s="30">
        <v>10.5</v>
      </c>
      <c r="AD475" s="30">
        <v>21.0</v>
      </c>
      <c r="AE475" s="30">
        <v>51.0</v>
      </c>
      <c r="AF475" s="30">
        <v>1.5</v>
      </c>
      <c r="AG475" s="30">
        <v>12.0</v>
      </c>
      <c r="AH475" s="30">
        <v>0.0</v>
      </c>
      <c r="AI475" s="30">
        <v>75.0</v>
      </c>
      <c r="AJ475" s="30">
        <v>67.5</v>
      </c>
      <c r="AK475" s="30">
        <v>76.5</v>
      </c>
      <c r="AL475" s="30">
        <v>88.5</v>
      </c>
      <c r="AM475" s="30">
        <v>10.5</v>
      </c>
      <c r="AN475" s="30">
        <v>16.5</v>
      </c>
      <c r="AO475" s="30">
        <v>88.5</v>
      </c>
      <c r="AP475" s="30">
        <v>3.0</v>
      </c>
      <c r="AQ475" s="30">
        <v>88.5</v>
      </c>
      <c r="AR475" s="30">
        <v>88.5</v>
      </c>
      <c r="AS475" s="30">
        <v>3.0</v>
      </c>
      <c r="AT475" s="30">
        <v>3.0</v>
      </c>
      <c r="AU475" s="30">
        <v>81.0</v>
      </c>
      <c r="AV475" s="30">
        <v>22.5</v>
      </c>
      <c r="AW475" s="30">
        <v>7.5</v>
      </c>
      <c r="AX475" s="30">
        <v>3.0</v>
      </c>
      <c r="AY475" s="30">
        <v>13.5</v>
      </c>
      <c r="AZ475" s="30">
        <v>73.5</v>
      </c>
      <c r="BA475" s="30">
        <v>12.0</v>
      </c>
      <c r="BB475" s="30">
        <v>70.5</v>
      </c>
      <c r="BC475" s="30">
        <v>0.0</v>
      </c>
      <c r="BD475" s="30">
        <v>1.5</v>
      </c>
      <c r="BE475" s="30">
        <v>9.0</v>
      </c>
      <c r="BF475" s="30">
        <v>3.0</v>
      </c>
      <c r="BG475" s="30">
        <v>49.5</v>
      </c>
      <c r="BH475" s="30">
        <v>1.5</v>
      </c>
      <c r="BI475" s="30">
        <v>60.0</v>
      </c>
      <c r="BJ475" s="30">
        <v>87.0</v>
      </c>
      <c r="BK475" s="30">
        <v>33.0</v>
      </c>
      <c r="BL475" s="30">
        <v>64.5</v>
      </c>
      <c r="BM475" s="30">
        <v>73.5</v>
      </c>
      <c r="BN475" s="30">
        <v>30.0</v>
      </c>
      <c r="BO475" s="30">
        <v>3.0</v>
      </c>
      <c r="BP475" s="30">
        <v>78.0</v>
      </c>
      <c r="BQ475" s="30">
        <v>16.5</v>
      </c>
      <c r="BR475" s="30">
        <v>60.0</v>
      </c>
      <c r="BS475" s="30">
        <v>63.0</v>
      </c>
      <c r="BT475" s="30">
        <v>1.5</v>
      </c>
      <c r="BU475" s="30">
        <v>88.5</v>
      </c>
      <c r="BV475" s="30">
        <v>3.0</v>
      </c>
      <c r="BW475" s="30">
        <v>75.0</v>
      </c>
      <c r="BX475" s="30">
        <v>3.0</v>
      </c>
      <c r="BY475" s="30">
        <v>3.0</v>
      </c>
      <c r="BZ475" s="30">
        <v>88.5</v>
      </c>
      <c r="CA475" s="30">
        <v>7.5</v>
      </c>
      <c r="CB475" s="30">
        <v>3.0</v>
      </c>
      <c r="CC475" s="30">
        <v>3.0</v>
      </c>
      <c r="CD475" s="30">
        <v>78.0</v>
      </c>
      <c r="CE475" s="30">
        <v>79.5</v>
      </c>
      <c r="CF475" s="30">
        <v>78.0</v>
      </c>
      <c r="CG475" s="30">
        <v>1.5</v>
      </c>
      <c r="CH475" s="30">
        <v>46.5</v>
      </c>
      <c r="CI475" s="30">
        <v>10.5</v>
      </c>
      <c r="CJ475" s="30">
        <v>87.0</v>
      </c>
      <c r="CK475" s="30">
        <v>63.0</v>
      </c>
      <c r="CL475" s="30">
        <v>60.0</v>
      </c>
      <c r="CM475" s="30">
        <v>3.0</v>
      </c>
      <c r="CN475" s="30">
        <v>1.5</v>
      </c>
      <c r="CO475" s="30">
        <v>66.0</v>
      </c>
      <c r="CP475" s="30">
        <v>3.0</v>
      </c>
      <c r="CQ475" s="30">
        <v>10.5</v>
      </c>
      <c r="CR475" s="30">
        <v>78.0</v>
      </c>
      <c r="CV475" s="30">
        <f t="shared" si="170"/>
        <v>402</v>
      </c>
      <c r="CW475" s="30">
        <f t="shared" si="171"/>
        <v>187.5</v>
      </c>
      <c r="CX475" s="30">
        <f t="shared" si="172"/>
        <v>229.5</v>
      </c>
      <c r="CY475" s="30">
        <f t="shared" si="173"/>
        <v>144</v>
      </c>
      <c r="CZ475" s="30">
        <f t="shared" si="174"/>
        <v>226.5</v>
      </c>
      <c r="DA475" s="30">
        <f t="shared" si="175"/>
        <v>85.5</v>
      </c>
      <c r="DB475" s="30">
        <f t="shared" si="176"/>
        <v>34.5</v>
      </c>
      <c r="DC475" s="30">
        <f t="shared" si="177"/>
        <v>169.5</v>
      </c>
      <c r="DD475" s="30">
        <f t="shared" si="178"/>
        <v>252</v>
      </c>
      <c r="DE475" s="30">
        <f t="shared" si="179"/>
        <v>21</v>
      </c>
      <c r="DF475" s="30">
        <f t="shared" si="180"/>
        <v>34.5</v>
      </c>
      <c r="DG475" s="30">
        <f t="shared" si="181"/>
        <v>421.5</v>
      </c>
      <c r="DH475" s="30">
        <f t="shared" si="182"/>
        <v>277.5</v>
      </c>
      <c r="DI475" s="30">
        <f t="shared" si="183"/>
        <v>247.5</v>
      </c>
      <c r="DJ475" s="30">
        <f t="shared" si="184"/>
        <v>70.5</v>
      </c>
      <c r="DK475" s="30">
        <f t="shared" si="185"/>
        <v>103.5</v>
      </c>
      <c r="DL475" s="30">
        <f t="shared" si="186"/>
        <v>9</v>
      </c>
      <c r="DM475" s="30">
        <f t="shared" si="187"/>
        <v>253.5</v>
      </c>
      <c r="DN475" s="30">
        <f t="shared" si="188"/>
        <v>159</v>
      </c>
      <c r="DO475" s="30">
        <f t="shared" si="189"/>
        <v>21</v>
      </c>
      <c r="DP475" s="30">
        <f t="shared" si="190"/>
        <v>208.5</v>
      </c>
      <c r="DQ475" s="30">
        <f t="shared" si="191"/>
        <v>379.5</v>
      </c>
    </row>
    <row r="476">
      <c r="B476" s="8" t="s">
        <v>33</v>
      </c>
      <c r="C476" s="30">
        <v>75.0</v>
      </c>
      <c r="D476" s="30">
        <v>45.0</v>
      </c>
      <c r="E476" s="30">
        <v>16.5</v>
      </c>
      <c r="F476" s="30">
        <v>0.0</v>
      </c>
      <c r="G476" s="30">
        <v>63.0</v>
      </c>
      <c r="H476" s="30">
        <v>7.5</v>
      </c>
      <c r="I476" s="30">
        <v>81.0</v>
      </c>
      <c r="J476" s="30">
        <v>45.0</v>
      </c>
      <c r="K476" s="30">
        <v>45.0</v>
      </c>
      <c r="L476" s="30">
        <v>22.5</v>
      </c>
      <c r="M476" s="30">
        <v>0.0</v>
      </c>
      <c r="N476" s="30">
        <v>7.5</v>
      </c>
      <c r="O476" s="30">
        <v>0.0</v>
      </c>
      <c r="P476" s="30">
        <v>90.0</v>
      </c>
      <c r="Q476" s="30">
        <v>34.5</v>
      </c>
      <c r="R476" s="30">
        <v>0.0</v>
      </c>
      <c r="S476" s="30">
        <v>0.0</v>
      </c>
      <c r="T476" s="30">
        <v>10.5</v>
      </c>
      <c r="U476" s="30">
        <v>21.0</v>
      </c>
      <c r="V476" s="30">
        <v>51.0</v>
      </c>
      <c r="W476" s="30">
        <v>45.0</v>
      </c>
      <c r="X476" s="30">
        <v>90.0</v>
      </c>
      <c r="Y476" s="30">
        <v>70.5</v>
      </c>
      <c r="Z476" s="30">
        <v>15.0</v>
      </c>
      <c r="AA476" s="30">
        <v>0.0</v>
      </c>
      <c r="AB476" s="30">
        <v>16.5</v>
      </c>
      <c r="AC476" s="30">
        <v>15.0</v>
      </c>
      <c r="AD476" s="30">
        <v>30.0</v>
      </c>
      <c r="AE476" s="30">
        <v>30.0</v>
      </c>
      <c r="AF476" s="30">
        <v>0.0</v>
      </c>
      <c r="AG476" s="30">
        <v>0.0</v>
      </c>
      <c r="AH476" s="30">
        <v>0.0</v>
      </c>
      <c r="AI476" s="30">
        <v>90.0</v>
      </c>
      <c r="AJ476" s="30">
        <v>15.0</v>
      </c>
      <c r="AK476" s="30">
        <v>15.0</v>
      </c>
      <c r="AL476" s="30">
        <v>28.5</v>
      </c>
      <c r="AM476" s="30">
        <v>30.0</v>
      </c>
      <c r="AN476" s="30">
        <v>19.5</v>
      </c>
      <c r="AO476" s="30">
        <v>76.5</v>
      </c>
      <c r="AP476" s="30">
        <v>45.0</v>
      </c>
      <c r="AQ476" s="30">
        <v>27.0</v>
      </c>
      <c r="AR476" s="30">
        <v>24.0</v>
      </c>
      <c r="AS476" s="30">
        <v>19.5</v>
      </c>
      <c r="AT476" s="30">
        <v>22.5</v>
      </c>
      <c r="AU476" s="30">
        <v>52.5</v>
      </c>
      <c r="AV476" s="30">
        <v>21.0</v>
      </c>
      <c r="AW476" s="30">
        <v>18.0</v>
      </c>
      <c r="AX476" s="30">
        <v>9.0</v>
      </c>
      <c r="AY476" s="30">
        <v>21.0</v>
      </c>
      <c r="AZ476" s="30">
        <v>55.5</v>
      </c>
      <c r="BA476" s="30">
        <v>51.0</v>
      </c>
      <c r="BB476" s="30">
        <v>7.5</v>
      </c>
      <c r="BC476" s="30">
        <v>4.5</v>
      </c>
      <c r="BD476" s="30">
        <v>0.0</v>
      </c>
      <c r="BE476" s="30">
        <v>7.5</v>
      </c>
      <c r="BF476" s="30">
        <v>12.0</v>
      </c>
      <c r="BG476" s="30">
        <v>45.0</v>
      </c>
      <c r="BH476" s="30">
        <v>0.0</v>
      </c>
      <c r="BI476" s="30">
        <v>0.0</v>
      </c>
      <c r="BJ476" s="30">
        <v>0.0</v>
      </c>
      <c r="BK476" s="30">
        <v>3.0</v>
      </c>
      <c r="BL476" s="30">
        <v>7.5</v>
      </c>
      <c r="BM476" s="30">
        <v>22.5</v>
      </c>
      <c r="BN476" s="30">
        <v>21.0</v>
      </c>
      <c r="BO476" s="30">
        <v>0.0</v>
      </c>
      <c r="BP476" s="30">
        <v>6.0</v>
      </c>
      <c r="BQ476" s="30">
        <v>37.5</v>
      </c>
      <c r="BR476" s="30">
        <v>22.5</v>
      </c>
      <c r="BS476" s="30">
        <v>15.0</v>
      </c>
      <c r="BT476" s="30">
        <v>7.5</v>
      </c>
      <c r="BU476" s="30">
        <v>7.5</v>
      </c>
      <c r="BV476" s="30">
        <v>12.0</v>
      </c>
      <c r="BW476" s="30">
        <v>22.5</v>
      </c>
      <c r="BX476" s="30">
        <v>0.0</v>
      </c>
      <c r="BY476" s="30">
        <v>90.0</v>
      </c>
      <c r="BZ476" s="30">
        <v>33.0</v>
      </c>
      <c r="CA476" s="30">
        <v>22.5</v>
      </c>
      <c r="CB476" s="30">
        <v>36.0</v>
      </c>
      <c r="CC476" s="30">
        <v>21.0</v>
      </c>
      <c r="CD476" s="30">
        <v>18.0</v>
      </c>
      <c r="CE476" s="30">
        <v>45.0</v>
      </c>
      <c r="CF476" s="30">
        <v>75.0</v>
      </c>
      <c r="CG476" s="30">
        <v>0.0</v>
      </c>
      <c r="CH476" s="30">
        <v>19.5</v>
      </c>
      <c r="CI476" s="30">
        <v>18.0</v>
      </c>
      <c r="CJ476" s="30">
        <v>19.5</v>
      </c>
      <c r="CK476" s="30">
        <v>0.0</v>
      </c>
      <c r="CL476" s="30">
        <v>40.5</v>
      </c>
      <c r="CM476" s="30">
        <v>4.5</v>
      </c>
      <c r="CN476" s="30">
        <v>0.0</v>
      </c>
      <c r="CO476" s="30">
        <v>27.0</v>
      </c>
      <c r="CP476" s="30">
        <v>46.5</v>
      </c>
      <c r="CQ476" s="30">
        <v>0.0</v>
      </c>
      <c r="CR476" s="30">
        <v>37.5</v>
      </c>
      <c r="CV476" s="30">
        <f t="shared" si="170"/>
        <v>84</v>
      </c>
      <c r="CW476" s="30">
        <f t="shared" si="171"/>
        <v>109.5</v>
      </c>
      <c r="CX476" s="30">
        <f t="shared" si="172"/>
        <v>54</v>
      </c>
      <c r="CY476" s="30">
        <f t="shared" si="173"/>
        <v>93</v>
      </c>
      <c r="CZ476" s="30">
        <f t="shared" si="174"/>
        <v>46.5</v>
      </c>
      <c r="DA476" s="30">
        <f t="shared" si="175"/>
        <v>192</v>
      </c>
      <c r="DB476" s="30">
        <f t="shared" si="176"/>
        <v>79.5</v>
      </c>
      <c r="DC476" s="30">
        <f t="shared" si="177"/>
        <v>172.5</v>
      </c>
      <c r="DD476" s="30">
        <f t="shared" si="178"/>
        <v>270</v>
      </c>
      <c r="DE476" s="30">
        <f t="shared" si="179"/>
        <v>211.5</v>
      </c>
      <c r="DF476" s="30">
        <f t="shared" si="180"/>
        <v>30</v>
      </c>
      <c r="DG476" s="30">
        <f t="shared" si="181"/>
        <v>198</v>
      </c>
      <c r="DH476" s="30">
        <f t="shared" si="182"/>
        <v>46.5</v>
      </c>
      <c r="DI476" s="30">
        <f t="shared" si="183"/>
        <v>63</v>
      </c>
      <c r="DJ476" s="30">
        <f t="shared" si="184"/>
        <v>147</v>
      </c>
      <c r="DK476" s="30">
        <f t="shared" si="185"/>
        <v>112.5</v>
      </c>
      <c r="DL476" s="30">
        <f t="shared" si="186"/>
        <v>24</v>
      </c>
      <c r="DM476" s="30">
        <f t="shared" si="187"/>
        <v>270</v>
      </c>
      <c r="DN476" s="30">
        <f t="shared" si="188"/>
        <v>157.5</v>
      </c>
      <c r="DO476" s="30">
        <f t="shared" si="189"/>
        <v>211.5</v>
      </c>
      <c r="DP476" s="30">
        <f t="shared" si="190"/>
        <v>201</v>
      </c>
      <c r="DQ476" s="30">
        <f t="shared" si="191"/>
        <v>273</v>
      </c>
    </row>
    <row r="477">
      <c r="B477" s="8" t="s">
        <v>34</v>
      </c>
      <c r="C477" s="30">
        <v>90.0</v>
      </c>
      <c r="D477" s="30">
        <v>54.0</v>
      </c>
      <c r="E477" s="30">
        <v>90.0</v>
      </c>
      <c r="F477" s="30">
        <v>10.5</v>
      </c>
      <c r="G477" s="30">
        <v>90.0</v>
      </c>
      <c r="H477" s="30">
        <v>18.0</v>
      </c>
      <c r="I477" s="30">
        <v>90.0</v>
      </c>
      <c r="J477" s="30">
        <v>4.5</v>
      </c>
      <c r="K477" s="30">
        <v>61.5</v>
      </c>
      <c r="L477" s="30">
        <v>36.0</v>
      </c>
      <c r="M477" s="30">
        <v>15.0</v>
      </c>
      <c r="N477" s="30">
        <v>48.0</v>
      </c>
      <c r="O477" s="30">
        <v>21.0</v>
      </c>
      <c r="P477" s="30">
        <v>90.0</v>
      </c>
      <c r="Q477" s="30">
        <v>9.0</v>
      </c>
      <c r="R477" s="30">
        <v>3.0</v>
      </c>
      <c r="S477" s="30">
        <v>21.0</v>
      </c>
      <c r="T477" s="30">
        <v>25.5</v>
      </c>
      <c r="U477" s="30">
        <v>6.0</v>
      </c>
      <c r="V477" s="30">
        <v>90.0</v>
      </c>
      <c r="W477" s="30">
        <v>0.0</v>
      </c>
      <c r="X477" s="30">
        <v>90.0</v>
      </c>
      <c r="Y477" s="30">
        <v>34.5</v>
      </c>
      <c r="Z477" s="30">
        <v>0.0</v>
      </c>
      <c r="AA477" s="30">
        <v>0.0</v>
      </c>
      <c r="AB477" s="30">
        <v>0.0</v>
      </c>
      <c r="AC477" s="30">
        <v>0.0</v>
      </c>
      <c r="AD477" s="30">
        <v>6.0</v>
      </c>
      <c r="AE477" s="30">
        <v>58.5</v>
      </c>
      <c r="AF477" s="30">
        <v>0.0</v>
      </c>
      <c r="AG477" s="30">
        <v>4.5</v>
      </c>
      <c r="AH477" s="30">
        <v>0.0</v>
      </c>
      <c r="AI477" s="30">
        <v>90.0</v>
      </c>
      <c r="AJ477" s="30">
        <v>7.5</v>
      </c>
      <c r="AK477" s="30">
        <v>1.5</v>
      </c>
      <c r="AL477" s="30">
        <v>1.5</v>
      </c>
      <c r="AM477" s="30">
        <v>25.5</v>
      </c>
      <c r="AN477" s="30">
        <v>0.0</v>
      </c>
      <c r="AO477" s="30">
        <v>90.0</v>
      </c>
      <c r="AP477" s="30">
        <v>15.0</v>
      </c>
      <c r="AQ477" s="30">
        <v>4.5</v>
      </c>
      <c r="AR477" s="30">
        <v>7.5</v>
      </c>
      <c r="AS477" s="30">
        <v>22.5</v>
      </c>
      <c r="AT477" s="30">
        <v>0.0</v>
      </c>
      <c r="AU477" s="30">
        <v>27.0</v>
      </c>
      <c r="AV477" s="30">
        <v>0.0</v>
      </c>
      <c r="AW477" s="30">
        <v>0.0</v>
      </c>
      <c r="AX477" s="30">
        <v>0.0</v>
      </c>
      <c r="AY477" s="30">
        <v>7.5</v>
      </c>
      <c r="AZ477" s="30">
        <v>9.0</v>
      </c>
      <c r="BA477" s="30">
        <v>30.0</v>
      </c>
      <c r="BB477" s="30">
        <v>0.0</v>
      </c>
      <c r="BC477" s="30">
        <v>0.0</v>
      </c>
      <c r="BD477" s="30">
        <v>0.0</v>
      </c>
      <c r="BE477" s="30">
        <v>45.0</v>
      </c>
      <c r="BF477" s="30">
        <v>0.0</v>
      </c>
      <c r="BG477" s="30">
        <v>16.5</v>
      </c>
      <c r="BH477" s="30">
        <v>0.0</v>
      </c>
      <c r="BI477" s="30">
        <v>90.0</v>
      </c>
      <c r="BJ477" s="30">
        <v>0.0</v>
      </c>
      <c r="BK477" s="30">
        <v>69.0</v>
      </c>
      <c r="BL477" s="30">
        <v>0.0</v>
      </c>
      <c r="BM477" s="30">
        <v>7.5</v>
      </c>
      <c r="BN477" s="30">
        <v>0.0</v>
      </c>
      <c r="BO477" s="30">
        <v>0.0</v>
      </c>
      <c r="BP477" s="30">
        <v>0.0</v>
      </c>
      <c r="BQ477" s="30">
        <v>22.5</v>
      </c>
      <c r="BR477" s="30">
        <v>7.5</v>
      </c>
      <c r="BS477" s="30">
        <v>49.5</v>
      </c>
      <c r="BT477" s="30">
        <v>61.5</v>
      </c>
      <c r="BU477" s="30">
        <v>0.0</v>
      </c>
      <c r="BV477" s="30">
        <v>0.0</v>
      </c>
      <c r="BW477" s="30">
        <v>0.0</v>
      </c>
      <c r="BX477" s="30">
        <v>49.5</v>
      </c>
      <c r="BY477" s="30">
        <v>10.5</v>
      </c>
      <c r="BZ477" s="30">
        <v>46.5</v>
      </c>
      <c r="CA477" s="30">
        <v>0.0</v>
      </c>
      <c r="CB477" s="30">
        <v>0.0</v>
      </c>
      <c r="CC477" s="30">
        <v>12.0</v>
      </c>
      <c r="CD477" s="30">
        <v>63.0</v>
      </c>
      <c r="CE477" s="30">
        <v>0.0</v>
      </c>
      <c r="CF477" s="30">
        <v>0.0</v>
      </c>
      <c r="CG477" s="30">
        <v>6.0</v>
      </c>
      <c r="CH477" s="30">
        <v>9.0</v>
      </c>
      <c r="CI477" s="30">
        <v>24.0</v>
      </c>
      <c r="CJ477" s="30">
        <v>0.0</v>
      </c>
      <c r="CK477" s="30">
        <v>42.0</v>
      </c>
      <c r="CL477" s="30">
        <v>27.0</v>
      </c>
      <c r="CM477" s="30">
        <v>0.0</v>
      </c>
      <c r="CN477" s="30">
        <v>0.0</v>
      </c>
      <c r="CO477" s="30">
        <v>31.5</v>
      </c>
      <c r="CP477" s="30">
        <v>15.0</v>
      </c>
      <c r="CQ477" s="30">
        <v>10.5</v>
      </c>
      <c r="CR477" s="30">
        <v>21.0</v>
      </c>
      <c r="CV477" s="30">
        <f t="shared" si="170"/>
        <v>45</v>
      </c>
      <c r="CW477" s="30">
        <f t="shared" si="171"/>
        <v>70.5</v>
      </c>
      <c r="CX477" s="30">
        <f t="shared" si="172"/>
        <v>79.5</v>
      </c>
      <c r="CY477" s="30">
        <f t="shared" si="173"/>
        <v>58.5</v>
      </c>
      <c r="CZ477" s="30">
        <f t="shared" si="174"/>
        <v>7.5</v>
      </c>
      <c r="DA477" s="30">
        <f t="shared" si="175"/>
        <v>27</v>
      </c>
      <c r="DB477" s="30">
        <f t="shared" si="176"/>
        <v>22.5</v>
      </c>
      <c r="DC477" s="30">
        <f t="shared" si="177"/>
        <v>102</v>
      </c>
      <c r="DD477" s="30">
        <f t="shared" si="178"/>
        <v>270</v>
      </c>
      <c r="DE477" s="30">
        <f t="shared" si="179"/>
        <v>135</v>
      </c>
      <c r="DF477" s="30">
        <f t="shared" si="180"/>
        <v>10.5</v>
      </c>
      <c r="DG477" s="30">
        <f t="shared" si="181"/>
        <v>243</v>
      </c>
      <c r="DH477" s="30">
        <f t="shared" si="182"/>
        <v>10.5</v>
      </c>
      <c r="DI477" s="30">
        <f t="shared" si="183"/>
        <v>6</v>
      </c>
      <c r="DJ477" s="30">
        <f t="shared" si="184"/>
        <v>46.5</v>
      </c>
      <c r="DK477" s="30">
        <f t="shared" si="185"/>
        <v>49.5</v>
      </c>
      <c r="DL477" s="30">
        <f t="shared" si="186"/>
        <v>18</v>
      </c>
      <c r="DM477" s="30">
        <f t="shared" si="187"/>
        <v>276</v>
      </c>
      <c r="DN477" s="30">
        <f t="shared" si="188"/>
        <v>180</v>
      </c>
      <c r="DO477" s="30">
        <f t="shared" si="189"/>
        <v>135</v>
      </c>
      <c r="DP477" s="30">
        <f t="shared" si="190"/>
        <v>316.5</v>
      </c>
      <c r="DQ477" s="30">
        <f t="shared" si="191"/>
        <v>409.5</v>
      </c>
    </row>
    <row r="478">
      <c r="B478" s="8" t="s">
        <v>35</v>
      </c>
      <c r="C478" s="30">
        <v>15.0</v>
      </c>
      <c r="D478" s="30">
        <v>12.0</v>
      </c>
      <c r="E478" s="30">
        <v>90.0</v>
      </c>
      <c r="F478" s="30">
        <v>0.0</v>
      </c>
      <c r="G478" s="30">
        <v>90.0</v>
      </c>
      <c r="H478" s="30">
        <v>0.0</v>
      </c>
      <c r="I478" s="30">
        <v>0.0</v>
      </c>
      <c r="J478" s="30">
        <v>0.0</v>
      </c>
      <c r="K478" s="30">
        <v>73.5</v>
      </c>
      <c r="L478" s="30">
        <v>0.0</v>
      </c>
      <c r="M478" s="30">
        <v>0.0</v>
      </c>
      <c r="N478" s="30">
        <v>42.0</v>
      </c>
      <c r="O478" s="30">
        <v>0.0</v>
      </c>
      <c r="P478" s="30">
        <v>0.0</v>
      </c>
      <c r="Q478" s="30">
        <v>0.0</v>
      </c>
      <c r="R478" s="30">
        <v>0.0</v>
      </c>
      <c r="S478" s="30">
        <v>0.0</v>
      </c>
      <c r="T478" s="30">
        <v>0.0</v>
      </c>
      <c r="U478" s="30">
        <v>69.0</v>
      </c>
      <c r="V478" s="30">
        <v>55.5</v>
      </c>
      <c r="W478" s="30">
        <v>0.0</v>
      </c>
      <c r="X478" s="30">
        <v>90.0</v>
      </c>
      <c r="Y478" s="30">
        <v>63.0</v>
      </c>
      <c r="Z478" s="30">
        <v>0.0</v>
      </c>
      <c r="AA478" s="30">
        <v>0.0</v>
      </c>
      <c r="AB478" s="30">
        <v>0.0</v>
      </c>
      <c r="AC478" s="30">
        <v>0.0</v>
      </c>
      <c r="AD478" s="30">
        <v>90.0</v>
      </c>
      <c r="AE478" s="30">
        <v>0.0</v>
      </c>
      <c r="AF478" s="30">
        <v>0.0</v>
      </c>
      <c r="AG478" s="30">
        <v>0.0</v>
      </c>
      <c r="AH478" s="30">
        <v>0.0</v>
      </c>
      <c r="AI478" s="30">
        <v>4.5</v>
      </c>
      <c r="AJ478" s="30">
        <v>0.0</v>
      </c>
      <c r="AK478" s="30">
        <v>0.0</v>
      </c>
      <c r="AL478" s="30">
        <v>90.0</v>
      </c>
      <c r="AM478" s="30">
        <v>0.0</v>
      </c>
      <c r="AN478" s="30">
        <v>43.5</v>
      </c>
      <c r="AO478" s="30">
        <v>90.0</v>
      </c>
      <c r="AP478" s="30">
        <v>0.0</v>
      </c>
      <c r="AQ478" s="30">
        <v>0.0</v>
      </c>
      <c r="AR478" s="30">
        <v>40.5</v>
      </c>
      <c r="AS478" s="30">
        <v>0.0</v>
      </c>
      <c r="AT478" s="30">
        <v>0.0</v>
      </c>
      <c r="AU478" s="30">
        <v>90.0</v>
      </c>
      <c r="AV478" s="30">
        <v>0.0</v>
      </c>
      <c r="AW478" s="30">
        <v>0.0</v>
      </c>
      <c r="AX478" s="30">
        <v>90.0</v>
      </c>
      <c r="AY478" s="30">
        <v>69.0</v>
      </c>
      <c r="AZ478" s="30">
        <v>79.5</v>
      </c>
      <c r="BA478" s="30">
        <v>0.0</v>
      </c>
      <c r="BB478" s="30">
        <v>0.0</v>
      </c>
      <c r="BC478" s="30">
        <v>0.0</v>
      </c>
      <c r="BD478" s="30">
        <v>0.0</v>
      </c>
      <c r="BE478" s="30">
        <v>0.0</v>
      </c>
      <c r="BF478" s="30">
        <v>0.0</v>
      </c>
      <c r="BG478" s="30">
        <v>90.0</v>
      </c>
      <c r="BH478" s="30">
        <v>0.0</v>
      </c>
      <c r="BI478" s="30">
        <v>0.0</v>
      </c>
      <c r="BJ478" s="30">
        <v>0.0</v>
      </c>
      <c r="BK478" s="30">
        <v>0.0</v>
      </c>
      <c r="BL478" s="30">
        <v>0.0</v>
      </c>
      <c r="BM478" s="30">
        <v>0.0</v>
      </c>
      <c r="BN478" s="30">
        <v>0.0</v>
      </c>
      <c r="BO478" s="30">
        <v>0.0</v>
      </c>
      <c r="BP478" s="30">
        <v>0.0</v>
      </c>
      <c r="BQ478" s="30">
        <v>0.0</v>
      </c>
      <c r="BR478" s="30">
        <v>0.0</v>
      </c>
      <c r="BS478" s="30">
        <v>0.0</v>
      </c>
      <c r="BT478" s="30">
        <v>0.0</v>
      </c>
      <c r="BU478" s="30">
        <v>0.0</v>
      </c>
      <c r="BV478" s="30">
        <v>90.0</v>
      </c>
      <c r="BW478" s="30">
        <v>0.0</v>
      </c>
      <c r="BX478" s="30">
        <v>0.0</v>
      </c>
      <c r="BY478" s="30">
        <v>45.0</v>
      </c>
      <c r="BZ478" s="30">
        <v>75.0</v>
      </c>
      <c r="CA478" s="30">
        <v>43.5</v>
      </c>
      <c r="CB478" s="30">
        <v>0.0</v>
      </c>
      <c r="CC478" s="30">
        <v>0.0</v>
      </c>
      <c r="CD478" s="30">
        <v>0.0</v>
      </c>
      <c r="CE478" s="30">
        <v>90.0</v>
      </c>
      <c r="CF478" s="30">
        <v>90.0</v>
      </c>
      <c r="CG478" s="30">
        <v>0.0</v>
      </c>
      <c r="CH478" s="30">
        <v>0.0</v>
      </c>
      <c r="CI478" s="30">
        <v>0.0</v>
      </c>
      <c r="CJ478" s="30">
        <v>90.0</v>
      </c>
      <c r="CK478" s="30">
        <v>90.0</v>
      </c>
      <c r="CL478" s="30">
        <v>0.0</v>
      </c>
      <c r="CM478" s="30">
        <v>0.0</v>
      </c>
      <c r="CN478" s="30">
        <v>0.0</v>
      </c>
      <c r="CO478" s="30">
        <v>90.0</v>
      </c>
      <c r="CP478" s="30">
        <v>0.0</v>
      </c>
      <c r="CQ478" s="30">
        <v>0.0</v>
      </c>
      <c r="CR478" s="30">
        <v>0.0</v>
      </c>
      <c r="CV478" s="30">
        <f t="shared" si="170"/>
        <v>40.5</v>
      </c>
      <c r="CW478" s="30">
        <f t="shared" si="171"/>
        <v>163.5</v>
      </c>
      <c r="CX478" s="30">
        <f t="shared" si="172"/>
        <v>222</v>
      </c>
      <c r="CY478" s="30">
        <f t="shared" si="173"/>
        <v>123</v>
      </c>
      <c r="CZ478" s="30">
        <f t="shared" si="174"/>
        <v>0</v>
      </c>
      <c r="DA478" s="30">
        <f t="shared" si="175"/>
        <v>43.5</v>
      </c>
      <c r="DB478" s="30">
        <f t="shared" si="176"/>
        <v>0</v>
      </c>
      <c r="DC478" s="30">
        <f t="shared" si="177"/>
        <v>180</v>
      </c>
      <c r="DD478" s="30">
        <f t="shared" si="178"/>
        <v>94.5</v>
      </c>
      <c r="DE478" s="30">
        <f t="shared" si="179"/>
        <v>163.5</v>
      </c>
      <c r="DF478" s="30">
        <f t="shared" si="180"/>
        <v>90</v>
      </c>
      <c r="DG478" s="30">
        <f t="shared" si="181"/>
        <v>268.5</v>
      </c>
      <c r="DH478" s="30">
        <f t="shared" si="182"/>
        <v>0</v>
      </c>
      <c r="DI478" s="30">
        <f t="shared" si="183"/>
        <v>90</v>
      </c>
      <c r="DJ478" s="30">
        <f t="shared" si="184"/>
        <v>0</v>
      </c>
      <c r="DK478" s="30">
        <f t="shared" si="185"/>
        <v>43.5</v>
      </c>
      <c r="DL478" s="30">
        <f t="shared" si="186"/>
        <v>0</v>
      </c>
      <c r="DM478" s="30">
        <f t="shared" si="187"/>
        <v>94.5</v>
      </c>
      <c r="DN478" s="30">
        <f t="shared" si="188"/>
        <v>90</v>
      </c>
      <c r="DO478" s="30">
        <f t="shared" si="189"/>
        <v>163.5</v>
      </c>
      <c r="DP478" s="30">
        <f t="shared" si="190"/>
        <v>393</v>
      </c>
      <c r="DQ478" s="30">
        <f t="shared" si="191"/>
        <v>12</v>
      </c>
    </row>
    <row r="479">
      <c r="B479" s="8" t="s">
        <v>36</v>
      </c>
      <c r="C479" s="30">
        <v>24.0</v>
      </c>
      <c r="D479" s="30">
        <v>3.0</v>
      </c>
      <c r="E479" s="30">
        <v>52.5</v>
      </c>
      <c r="F479" s="30">
        <v>1.5</v>
      </c>
      <c r="G479" s="30">
        <v>1.5</v>
      </c>
      <c r="H479" s="30">
        <v>1.5</v>
      </c>
      <c r="I479" s="30">
        <v>60.0</v>
      </c>
      <c r="J479" s="30">
        <v>1.5</v>
      </c>
      <c r="K479" s="30">
        <v>49.5</v>
      </c>
      <c r="L479" s="30">
        <v>3.0</v>
      </c>
      <c r="M479" s="30">
        <v>1.5</v>
      </c>
      <c r="N479" s="30">
        <v>31.5</v>
      </c>
      <c r="O479" s="30">
        <v>0.0</v>
      </c>
      <c r="P479" s="30">
        <v>82.5</v>
      </c>
      <c r="Q479" s="30">
        <v>1.5</v>
      </c>
      <c r="R479" s="30">
        <v>1.5</v>
      </c>
      <c r="S479" s="30">
        <v>1.5</v>
      </c>
      <c r="T479" s="30">
        <v>9.0</v>
      </c>
      <c r="U479" s="30">
        <v>1.5</v>
      </c>
      <c r="V479" s="30">
        <v>15.0</v>
      </c>
      <c r="W479" s="30">
        <v>3.0</v>
      </c>
      <c r="X479" s="30">
        <v>52.5</v>
      </c>
      <c r="Y479" s="30">
        <v>31.5</v>
      </c>
      <c r="Z479" s="30">
        <v>3.0</v>
      </c>
      <c r="AA479" s="30">
        <v>3.0</v>
      </c>
      <c r="AB479" s="30">
        <v>21.0</v>
      </c>
      <c r="AC479" s="30">
        <v>3.0</v>
      </c>
      <c r="AD479" s="30">
        <v>3.0</v>
      </c>
      <c r="AE479" s="30">
        <v>3.0</v>
      </c>
      <c r="AF479" s="30">
        <v>0.0</v>
      </c>
      <c r="AG479" s="30">
        <v>3.0</v>
      </c>
      <c r="AH479" s="30">
        <v>1.5</v>
      </c>
      <c r="AI479" s="30">
        <v>3.0</v>
      </c>
      <c r="AJ479" s="30">
        <v>1.5</v>
      </c>
      <c r="AK479" s="30">
        <v>45.0</v>
      </c>
      <c r="AL479" s="30">
        <v>10.5</v>
      </c>
      <c r="AM479" s="30">
        <v>1.5</v>
      </c>
      <c r="AN479" s="30">
        <v>1.5</v>
      </c>
      <c r="AO479" s="30">
        <v>24.0</v>
      </c>
      <c r="AP479" s="30">
        <v>10.5</v>
      </c>
      <c r="AQ479" s="30">
        <v>3.0</v>
      </c>
      <c r="AR479" s="30">
        <v>15.0</v>
      </c>
      <c r="AS479" s="30">
        <v>3.0</v>
      </c>
      <c r="AT479" s="30">
        <v>1.5</v>
      </c>
      <c r="AU479" s="30">
        <v>15.0</v>
      </c>
      <c r="AV479" s="30">
        <v>3.0</v>
      </c>
      <c r="AW479" s="30">
        <v>3.0</v>
      </c>
      <c r="AX479" s="30">
        <v>3.0</v>
      </c>
      <c r="AY479" s="30">
        <v>3.0</v>
      </c>
      <c r="AZ479" s="30">
        <v>22.5</v>
      </c>
      <c r="BA479" s="30">
        <v>1.5</v>
      </c>
      <c r="BB479" s="30">
        <v>1.5</v>
      </c>
      <c r="BC479" s="30">
        <v>1.5</v>
      </c>
      <c r="BD479" s="30">
        <v>1.5</v>
      </c>
      <c r="BE479" s="30">
        <v>1.5</v>
      </c>
      <c r="BF479" s="30">
        <v>3.0</v>
      </c>
      <c r="BG479" s="30">
        <v>51.0</v>
      </c>
      <c r="BH479" s="30">
        <v>1.5</v>
      </c>
      <c r="BI479" s="30">
        <v>34.5</v>
      </c>
      <c r="BJ479" s="30">
        <v>18.0</v>
      </c>
      <c r="BK479" s="30">
        <v>6.0</v>
      </c>
      <c r="BL479" s="30">
        <v>1.5</v>
      </c>
      <c r="BM479" s="30">
        <v>4.5</v>
      </c>
      <c r="BN479" s="30">
        <v>36.0</v>
      </c>
      <c r="BO479" s="30">
        <v>1.5</v>
      </c>
      <c r="BP479" s="30">
        <v>1.5</v>
      </c>
      <c r="BQ479" s="30">
        <v>6.0</v>
      </c>
      <c r="BR479" s="30">
        <v>1.5</v>
      </c>
      <c r="BS479" s="30">
        <v>1.5</v>
      </c>
      <c r="BT479" s="30">
        <v>34.5</v>
      </c>
      <c r="BU479" s="30">
        <v>1.5</v>
      </c>
      <c r="BV479" s="30">
        <v>3.0</v>
      </c>
      <c r="BW479" s="30">
        <v>46.5</v>
      </c>
      <c r="BX479" s="30">
        <v>1.5</v>
      </c>
      <c r="BY479" s="30">
        <v>1.5</v>
      </c>
      <c r="BZ479" s="30">
        <v>51.0</v>
      </c>
      <c r="CA479" s="30">
        <v>9.0</v>
      </c>
      <c r="CB479" s="30">
        <v>1.5</v>
      </c>
      <c r="CC479" s="30">
        <v>3.0</v>
      </c>
      <c r="CD479" s="30">
        <v>9.0</v>
      </c>
      <c r="CE479" s="30">
        <v>30.0</v>
      </c>
      <c r="CF479" s="30">
        <v>3.0</v>
      </c>
      <c r="CG479" s="30">
        <v>0.0</v>
      </c>
      <c r="CH479" s="30">
        <v>1.5</v>
      </c>
      <c r="CI479" s="30">
        <v>0.0</v>
      </c>
      <c r="CJ479" s="30">
        <v>45.0</v>
      </c>
      <c r="CK479" s="30">
        <v>0.0</v>
      </c>
      <c r="CL479" s="30">
        <v>36.0</v>
      </c>
      <c r="CM479" s="30">
        <v>0.0</v>
      </c>
      <c r="CN479" s="30">
        <v>0.0</v>
      </c>
      <c r="CO479" s="30">
        <v>24.0</v>
      </c>
      <c r="CP479" s="30">
        <v>0.0</v>
      </c>
      <c r="CQ479" s="30">
        <v>0.0</v>
      </c>
      <c r="CR479" s="30">
        <v>0.0</v>
      </c>
      <c r="CV479" s="30">
        <f t="shared" si="170"/>
        <v>30</v>
      </c>
      <c r="CW479" s="30">
        <f t="shared" si="171"/>
        <v>81</v>
      </c>
      <c r="CX479" s="30">
        <f t="shared" si="172"/>
        <v>100.5</v>
      </c>
      <c r="CY479" s="30">
        <f t="shared" si="173"/>
        <v>33</v>
      </c>
      <c r="CZ479" s="30">
        <f t="shared" si="174"/>
        <v>27</v>
      </c>
      <c r="DA479" s="30">
        <f t="shared" si="175"/>
        <v>52.5</v>
      </c>
      <c r="DB479" s="30">
        <f t="shared" si="176"/>
        <v>12</v>
      </c>
      <c r="DC479" s="30">
        <f t="shared" si="177"/>
        <v>30</v>
      </c>
      <c r="DD479" s="30">
        <f t="shared" si="178"/>
        <v>138</v>
      </c>
      <c r="DE479" s="30">
        <f t="shared" si="179"/>
        <v>48</v>
      </c>
      <c r="DF479" s="30">
        <f t="shared" si="180"/>
        <v>7.5</v>
      </c>
      <c r="DG479" s="30">
        <f t="shared" si="181"/>
        <v>136.5</v>
      </c>
      <c r="DH479" s="30">
        <f t="shared" si="182"/>
        <v>28.5</v>
      </c>
      <c r="DI479" s="30">
        <f t="shared" si="183"/>
        <v>15</v>
      </c>
      <c r="DJ479" s="30">
        <f t="shared" si="184"/>
        <v>46.5</v>
      </c>
      <c r="DK479" s="30">
        <f t="shared" si="185"/>
        <v>46.5</v>
      </c>
      <c r="DL479" s="30">
        <f t="shared" si="186"/>
        <v>4.5</v>
      </c>
      <c r="DM479" s="30">
        <f t="shared" si="187"/>
        <v>138</v>
      </c>
      <c r="DN479" s="30">
        <f t="shared" si="188"/>
        <v>84</v>
      </c>
      <c r="DO479" s="30">
        <f t="shared" si="189"/>
        <v>48</v>
      </c>
      <c r="DP479" s="30">
        <f t="shared" si="190"/>
        <v>70.5</v>
      </c>
      <c r="DQ479" s="30">
        <f t="shared" si="191"/>
        <v>61.5</v>
      </c>
    </row>
    <row r="481">
      <c r="B481" s="2" t="s">
        <v>182</v>
      </c>
      <c r="C481" s="3">
        <v>1.0</v>
      </c>
      <c r="D481" s="3">
        <v>2.0</v>
      </c>
      <c r="E481" s="3">
        <v>3.0</v>
      </c>
      <c r="F481" s="3">
        <v>4.0</v>
      </c>
      <c r="G481" s="3">
        <v>5.0</v>
      </c>
      <c r="H481" s="3">
        <v>6.0</v>
      </c>
      <c r="I481" s="3">
        <v>7.0</v>
      </c>
      <c r="J481" s="3">
        <v>8.0</v>
      </c>
      <c r="K481" s="3">
        <v>9.0</v>
      </c>
      <c r="L481" s="3">
        <v>10.0</v>
      </c>
      <c r="M481" s="3">
        <v>11.0</v>
      </c>
      <c r="N481" s="3">
        <v>12.0</v>
      </c>
      <c r="O481" s="3">
        <v>13.0</v>
      </c>
      <c r="P481" s="3">
        <v>14.0</v>
      </c>
      <c r="Q481" s="3">
        <v>15.0</v>
      </c>
      <c r="R481" s="3">
        <v>16.0</v>
      </c>
      <c r="T481" s="10" t="s">
        <v>183</v>
      </c>
      <c r="U481" s="10" t="s">
        <v>184</v>
      </c>
      <c r="V481" s="10" t="s">
        <v>185</v>
      </c>
      <c r="W481" s="10" t="s">
        <v>186</v>
      </c>
      <c r="X481" s="10" t="s">
        <v>153</v>
      </c>
      <c r="AA481" s="10" t="s">
        <v>150</v>
      </c>
      <c r="AB481" s="21"/>
      <c r="AC481" s="21"/>
      <c r="AD481" s="21"/>
    </row>
    <row r="482">
      <c r="B482" s="5" t="s">
        <v>2</v>
      </c>
      <c r="C482" s="6">
        <v>2.0</v>
      </c>
      <c r="D482" s="6">
        <v>0.0</v>
      </c>
      <c r="E482" s="6">
        <v>0.0</v>
      </c>
      <c r="F482" s="6">
        <v>0.0</v>
      </c>
      <c r="G482" s="6">
        <v>1.0</v>
      </c>
      <c r="H482" s="6">
        <v>1.0</v>
      </c>
      <c r="I482" s="6">
        <v>2.0</v>
      </c>
      <c r="J482" s="6">
        <v>2.0</v>
      </c>
      <c r="K482" s="6">
        <v>1.0</v>
      </c>
      <c r="L482" s="6">
        <v>0.0</v>
      </c>
      <c r="M482" s="6">
        <v>0.0</v>
      </c>
      <c r="N482" s="6">
        <v>0.0</v>
      </c>
      <c r="O482" s="6">
        <v>2.0</v>
      </c>
      <c r="P482" s="6">
        <v>2.0</v>
      </c>
      <c r="Q482" s="6">
        <v>0.0</v>
      </c>
      <c r="R482" s="6">
        <v>0.0</v>
      </c>
      <c r="T482" s="42">
        <f t="shared" ref="T482:T509" si="193">sum(C482:F482)</f>
        <v>2</v>
      </c>
      <c r="U482" s="42">
        <f t="shared" ref="U482:U509" si="194">sum(G482:J482)</f>
        <v>6</v>
      </c>
      <c r="V482" s="42">
        <f t="shared" ref="V482:V509" si="195">sum(K482:N482)</f>
        <v>1</v>
      </c>
      <c r="W482" s="42">
        <f t="shared" ref="W482:W509" si="196">sum(O482:R482)</f>
        <v>4</v>
      </c>
      <c r="X482" s="42">
        <f t="shared" ref="X482:X509" si="197">sum(T482:W482)</f>
        <v>13</v>
      </c>
      <c r="AA482">
        <f t="shared" ref="AA482:AD482" si="192">sum(T482:T516)</f>
        <v>67</v>
      </c>
      <c r="AB482">
        <f t="shared" si="192"/>
        <v>156</v>
      </c>
      <c r="AC482">
        <f t="shared" si="192"/>
        <v>82</v>
      </c>
      <c r="AD482">
        <f t="shared" si="192"/>
        <v>81</v>
      </c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  <c r="DI482" s="24"/>
      <c r="DJ482" s="24"/>
      <c r="DK482" s="24"/>
      <c r="DL482" s="24"/>
      <c r="DM482" s="24"/>
      <c r="DN482" s="24"/>
      <c r="DO482" s="24"/>
      <c r="DP482" s="24"/>
      <c r="DQ482" s="24"/>
      <c r="DR482" s="24"/>
      <c r="DS482" s="24"/>
      <c r="DT482" s="24"/>
      <c r="DU482" s="24"/>
      <c r="DV482" s="24"/>
      <c r="DW482" s="24"/>
      <c r="DX482" s="24"/>
      <c r="DY482" s="24"/>
      <c r="DZ482" s="24"/>
      <c r="EA482" s="24"/>
      <c r="EB482" s="24"/>
      <c r="EC482" s="24"/>
      <c r="ED482" s="24"/>
      <c r="EE482" s="24"/>
      <c r="EF482" s="24"/>
      <c r="EG482" s="24"/>
      <c r="EH482" s="24"/>
      <c r="EI482" s="24"/>
      <c r="EJ482" s="24"/>
      <c r="EK482" s="24"/>
      <c r="EL482" s="24"/>
      <c r="EM482" s="24"/>
    </row>
    <row r="483">
      <c r="B483" s="5" t="s">
        <v>3</v>
      </c>
      <c r="C483" s="6">
        <v>0.0</v>
      </c>
      <c r="D483" s="6">
        <v>0.0</v>
      </c>
      <c r="E483" s="6">
        <v>0.0</v>
      </c>
      <c r="F483" s="6">
        <v>0.0</v>
      </c>
      <c r="G483" s="6">
        <v>2.0</v>
      </c>
      <c r="H483" s="6">
        <v>1.0</v>
      </c>
      <c r="I483" s="6">
        <v>1.0</v>
      </c>
      <c r="J483" s="6">
        <v>0.0</v>
      </c>
      <c r="K483" s="6">
        <v>0.0</v>
      </c>
      <c r="L483" s="6">
        <v>1.0</v>
      </c>
      <c r="M483" s="6">
        <v>0.0</v>
      </c>
      <c r="N483" s="6">
        <v>1.0</v>
      </c>
      <c r="O483" s="6">
        <v>1.0</v>
      </c>
      <c r="P483" s="6">
        <v>0.0</v>
      </c>
      <c r="Q483" s="6">
        <v>0.0</v>
      </c>
      <c r="R483" s="6">
        <v>0.0</v>
      </c>
      <c r="T483" s="42">
        <f t="shared" si="193"/>
        <v>0</v>
      </c>
      <c r="U483" s="42">
        <f t="shared" si="194"/>
        <v>4</v>
      </c>
      <c r="V483" s="42">
        <f t="shared" si="195"/>
        <v>2</v>
      </c>
      <c r="W483" s="42">
        <f t="shared" si="196"/>
        <v>1</v>
      </c>
      <c r="X483" s="42">
        <f t="shared" si="197"/>
        <v>7</v>
      </c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W483" s="43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  <c r="DI483" s="24"/>
      <c r="DJ483" s="24"/>
      <c r="DK483" s="24"/>
      <c r="DL483" s="24"/>
      <c r="DM483" s="24"/>
      <c r="DN483" s="24"/>
      <c r="DO483" s="24"/>
      <c r="DP483" s="24"/>
      <c r="DQ483" s="24"/>
      <c r="DR483" s="24"/>
      <c r="DS483" s="24"/>
      <c r="DT483" s="24"/>
      <c r="DU483" s="24"/>
      <c r="DV483" s="24"/>
      <c r="DW483" s="24"/>
      <c r="DX483" s="24"/>
      <c r="DY483" s="24"/>
      <c r="DZ483" s="24"/>
      <c r="EA483" s="24"/>
      <c r="EB483" s="24"/>
      <c r="EC483" s="24"/>
      <c r="ED483" s="24"/>
      <c r="EE483" s="24"/>
      <c r="EF483" s="24"/>
      <c r="EG483" s="24"/>
      <c r="EH483" s="24"/>
      <c r="EI483" s="24"/>
      <c r="EJ483" s="24"/>
      <c r="EK483" s="24"/>
      <c r="EL483" s="24"/>
      <c r="EM483" s="24"/>
    </row>
    <row r="484">
      <c r="B484" s="5" t="s">
        <v>4</v>
      </c>
      <c r="C484" s="6">
        <v>0.0</v>
      </c>
      <c r="D484" s="6">
        <v>0.0</v>
      </c>
      <c r="E484" s="6">
        <v>0.0</v>
      </c>
      <c r="F484" s="6">
        <v>0.0</v>
      </c>
      <c r="G484" s="6">
        <v>2.0</v>
      </c>
      <c r="H484" s="6">
        <v>1.0</v>
      </c>
      <c r="I484" s="6">
        <v>1.0</v>
      </c>
      <c r="J484" s="6">
        <v>0.0</v>
      </c>
      <c r="K484" s="6">
        <v>1.0</v>
      </c>
      <c r="L484" s="6">
        <v>0.0</v>
      </c>
      <c r="M484" s="6">
        <v>1.0</v>
      </c>
      <c r="N484" s="6">
        <v>1.0</v>
      </c>
      <c r="O484" s="6">
        <v>2.0</v>
      </c>
      <c r="P484" s="6">
        <v>2.0</v>
      </c>
      <c r="Q484" s="6">
        <v>0.0</v>
      </c>
      <c r="R484" s="6">
        <v>0.0</v>
      </c>
      <c r="T484" s="42">
        <f t="shared" si="193"/>
        <v>0</v>
      </c>
      <c r="U484" s="42">
        <f t="shared" si="194"/>
        <v>4</v>
      </c>
      <c r="V484" s="42">
        <f t="shared" si="195"/>
        <v>3</v>
      </c>
      <c r="W484" s="42">
        <f t="shared" si="196"/>
        <v>4</v>
      </c>
      <c r="X484" s="42">
        <f t="shared" si="197"/>
        <v>11</v>
      </c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  <c r="DI484" s="24"/>
      <c r="DJ484" s="24"/>
      <c r="DK484" s="24"/>
      <c r="DL484" s="24"/>
      <c r="DM484" s="24"/>
      <c r="DN484" s="24"/>
      <c r="DO484" s="24"/>
      <c r="DP484" s="24"/>
      <c r="DQ484" s="24"/>
      <c r="DR484" s="24"/>
      <c r="DS484" s="24"/>
      <c r="DT484" s="24"/>
      <c r="DU484" s="24"/>
      <c r="DV484" s="24"/>
      <c r="DW484" s="24"/>
      <c r="DX484" s="24"/>
      <c r="DY484" s="24"/>
      <c r="DZ484" s="24"/>
      <c r="EA484" s="24"/>
      <c r="EB484" s="24"/>
      <c r="EC484" s="24"/>
      <c r="ED484" s="24"/>
      <c r="EE484" s="24"/>
      <c r="EF484" s="24"/>
      <c r="EG484" s="24"/>
      <c r="EH484" s="24"/>
      <c r="EI484" s="24"/>
      <c r="EJ484" s="24"/>
      <c r="EK484" s="24"/>
      <c r="EL484" s="24"/>
      <c r="EM484" s="24"/>
    </row>
    <row r="485">
      <c r="B485" s="5" t="s">
        <v>5</v>
      </c>
      <c r="C485" s="6">
        <v>2.0</v>
      </c>
      <c r="D485" s="6">
        <v>2.0</v>
      </c>
      <c r="E485" s="6">
        <v>0.0</v>
      </c>
      <c r="F485" s="6">
        <v>0.0</v>
      </c>
      <c r="G485" s="6">
        <v>1.0</v>
      </c>
      <c r="H485" s="6">
        <v>1.0</v>
      </c>
      <c r="I485" s="6">
        <v>2.0</v>
      </c>
      <c r="J485" s="6">
        <v>2.0</v>
      </c>
      <c r="K485" s="6">
        <v>2.0</v>
      </c>
      <c r="L485" s="6">
        <v>1.0</v>
      </c>
      <c r="M485" s="6">
        <v>2.0</v>
      </c>
      <c r="N485" s="6">
        <v>1.0</v>
      </c>
      <c r="O485" s="6">
        <v>1.0</v>
      </c>
      <c r="P485" s="6">
        <v>2.0</v>
      </c>
      <c r="Q485" s="6">
        <v>0.0</v>
      </c>
      <c r="R485" s="6">
        <v>0.0</v>
      </c>
      <c r="T485" s="42">
        <f t="shared" si="193"/>
        <v>4</v>
      </c>
      <c r="U485" s="42">
        <f t="shared" si="194"/>
        <v>6</v>
      </c>
      <c r="V485" s="42">
        <f t="shared" si="195"/>
        <v>6</v>
      </c>
      <c r="W485" s="42">
        <f t="shared" si="196"/>
        <v>3</v>
      </c>
      <c r="X485" s="42">
        <f t="shared" si="197"/>
        <v>19</v>
      </c>
    </row>
    <row r="486">
      <c r="B486" s="5" t="s">
        <v>6</v>
      </c>
      <c r="C486" s="6">
        <v>2.0</v>
      </c>
      <c r="D486" s="6">
        <v>1.0</v>
      </c>
      <c r="E486" s="6">
        <v>0.0</v>
      </c>
      <c r="F486" s="6">
        <v>2.0</v>
      </c>
      <c r="G486" s="6">
        <v>1.0</v>
      </c>
      <c r="H486" s="6">
        <v>2.0</v>
      </c>
      <c r="I486" s="6">
        <v>2.0</v>
      </c>
      <c r="J486" s="6">
        <v>2.0</v>
      </c>
      <c r="K486" s="6">
        <v>2.0</v>
      </c>
      <c r="L486" s="6">
        <v>1.0</v>
      </c>
      <c r="M486" s="6">
        <v>0.0</v>
      </c>
      <c r="N486" s="6">
        <v>2.0</v>
      </c>
      <c r="O486" s="6">
        <v>1.0</v>
      </c>
      <c r="P486" s="6">
        <v>2.0</v>
      </c>
      <c r="Q486" s="6">
        <v>0.0</v>
      </c>
      <c r="R486" s="6">
        <v>0.0</v>
      </c>
      <c r="T486" s="42">
        <f t="shared" si="193"/>
        <v>5</v>
      </c>
      <c r="U486" s="42">
        <f t="shared" si="194"/>
        <v>7</v>
      </c>
      <c r="V486" s="42">
        <f t="shared" si="195"/>
        <v>5</v>
      </c>
      <c r="W486" s="42">
        <f t="shared" si="196"/>
        <v>3</v>
      </c>
      <c r="X486" s="42">
        <f t="shared" si="197"/>
        <v>20</v>
      </c>
    </row>
    <row r="487">
      <c r="B487" s="5" t="s">
        <v>7</v>
      </c>
      <c r="C487" s="6">
        <v>0.0</v>
      </c>
      <c r="D487" s="6">
        <v>0.0</v>
      </c>
      <c r="E487" s="6">
        <v>0.0</v>
      </c>
      <c r="F487" s="6">
        <v>0.0</v>
      </c>
      <c r="G487" s="6">
        <v>1.0</v>
      </c>
      <c r="H487" s="6">
        <v>1.0</v>
      </c>
      <c r="I487" s="6">
        <v>1.0</v>
      </c>
      <c r="J487" s="6">
        <v>0.0</v>
      </c>
      <c r="K487" s="6">
        <v>1.0</v>
      </c>
      <c r="L487" s="6">
        <v>0.0</v>
      </c>
      <c r="M487" s="6">
        <v>0.0</v>
      </c>
      <c r="N487" s="6">
        <v>2.0</v>
      </c>
      <c r="O487" s="6">
        <v>1.0</v>
      </c>
      <c r="P487" s="6">
        <v>2.0</v>
      </c>
      <c r="Q487" s="6">
        <v>2.0</v>
      </c>
      <c r="R487" s="6">
        <v>1.0</v>
      </c>
      <c r="T487" s="42">
        <f t="shared" si="193"/>
        <v>0</v>
      </c>
      <c r="U487" s="42">
        <f t="shared" si="194"/>
        <v>3</v>
      </c>
      <c r="V487" s="42">
        <f t="shared" si="195"/>
        <v>3</v>
      </c>
      <c r="W487" s="42">
        <f t="shared" si="196"/>
        <v>6</v>
      </c>
      <c r="X487" s="42">
        <f t="shared" si="197"/>
        <v>12</v>
      </c>
    </row>
    <row r="488">
      <c r="B488" s="5" t="s">
        <v>8</v>
      </c>
      <c r="C488" s="6">
        <v>0.0</v>
      </c>
      <c r="D488" s="6">
        <v>0.0</v>
      </c>
      <c r="E488" s="6">
        <v>0.0</v>
      </c>
      <c r="F488" s="6">
        <v>0.0</v>
      </c>
      <c r="G488" s="6">
        <v>2.0</v>
      </c>
      <c r="H488" s="6">
        <v>2.0</v>
      </c>
      <c r="I488" s="6">
        <v>2.0</v>
      </c>
      <c r="J488" s="6">
        <v>2.0</v>
      </c>
      <c r="K488" s="6">
        <v>0.0</v>
      </c>
      <c r="L488" s="6">
        <v>0.0</v>
      </c>
      <c r="M488" s="6">
        <v>0.0</v>
      </c>
      <c r="N488" s="6">
        <v>1.0</v>
      </c>
      <c r="O488" s="6">
        <v>0.0</v>
      </c>
      <c r="P488" s="6">
        <v>2.0</v>
      </c>
      <c r="Q488" s="6">
        <v>0.0</v>
      </c>
      <c r="R488" s="6">
        <v>0.0</v>
      </c>
      <c r="T488" s="42">
        <f t="shared" si="193"/>
        <v>0</v>
      </c>
      <c r="U488" s="42">
        <f t="shared" si="194"/>
        <v>8</v>
      </c>
      <c r="V488" s="42">
        <f t="shared" si="195"/>
        <v>1</v>
      </c>
      <c r="W488" s="42">
        <f t="shared" si="196"/>
        <v>2</v>
      </c>
      <c r="X488" s="42">
        <f t="shared" si="197"/>
        <v>11</v>
      </c>
    </row>
    <row r="489">
      <c r="B489" s="5" t="s">
        <v>9</v>
      </c>
      <c r="C489" s="6">
        <v>1.0</v>
      </c>
      <c r="D489" s="6">
        <v>2.0</v>
      </c>
      <c r="E489" s="6">
        <v>0.0</v>
      </c>
      <c r="F489" s="6">
        <v>2.0</v>
      </c>
      <c r="G489" s="6">
        <v>2.0</v>
      </c>
      <c r="H489" s="6">
        <v>2.0</v>
      </c>
      <c r="I489" s="6">
        <v>2.0</v>
      </c>
      <c r="J489" s="6">
        <v>1.0</v>
      </c>
      <c r="K489" s="6">
        <v>2.0</v>
      </c>
      <c r="L489" s="6">
        <v>1.0</v>
      </c>
      <c r="M489" s="6">
        <v>0.0</v>
      </c>
      <c r="N489" s="6">
        <v>1.0</v>
      </c>
      <c r="O489" s="6">
        <v>0.0</v>
      </c>
      <c r="P489" s="6">
        <v>0.0</v>
      </c>
      <c r="Q489" s="6">
        <v>0.0</v>
      </c>
      <c r="R489" s="6">
        <v>0.0</v>
      </c>
      <c r="T489" s="42">
        <f t="shared" si="193"/>
        <v>5</v>
      </c>
      <c r="U489" s="42">
        <f t="shared" si="194"/>
        <v>7</v>
      </c>
      <c r="V489" s="42">
        <f t="shared" si="195"/>
        <v>4</v>
      </c>
      <c r="W489" s="42">
        <f t="shared" si="196"/>
        <v>0</v>
      </c>
      <c r="X489" s="42">
        <f t="shared" si="197"/>
        <v>16</v>
      </c>
    </row>
    <row r="490">
      <c r="B490" s="5" t="s">
        <v>10</v>
      </c>
      <c r="C490" s="6">
        <v>0.0</v>
      </c>
      <c r="D490" s="6">
        <v>0.0</v>
      </c>
      <c r="E490" s="6">
        <v>0.0</v>
      </c>
      <c r="F490" s="6">
        <v>0.0</v>
      </c>
      <c r="G490" s="6">
        <v>0.0</v>
      </c>
      <c r="H490" s="6">
        <v>0.0</v>
      </c>
      <c r="I490" s="6">
        <v>0.0</v>
      </c>
      <c r="J490" s="6">
        <v>0.0</v>
      </c>
      <c r="K490" s="6">
        <v>0.0</v>
      </c>
      <c r="L490" s="6">
        <v>0.0</v>
      </c>
      <c r="M490" s="6">
        <v>0.0</v>
      </c>
      <c r="N490" s="6">
        <v>0.0</v>
      </c>
      <c r="O490" s="6">
        <v>0.0</v>
      </c>
      <c r="P490" s="6">
        <v>0.0</v>
      </c>
      <c r="Q490" s="6">
        <v>0.0</v>
      </c>
      <c r="R490" s="6">
        <v>0.0</v>
      </c>
      <c r="T490" s="42">
        <f t="shared" si="193"/>
        <v>0</v>
      </c>
      <c r="U490" s="42">
        <f t="shared" si="194"/>
        <v>0</v>
      </c>
      <c r="V490" s="42">
        <f t="shared" si="195"/>
        <v>0</v>
      </c>
      <c r="W490" s="42">
        <f t="shared" si="196"/>
        <v>0</v>
      </c>
      <c r="X490" s="42">
        <f t="shared" si="197"/>
        <v>0</v>
      </c>
    </row>
    <row r="491">
      <c r="B491" s="5" t="s">
        <v>11</v>
      </c>
      <c r="C491" s="6">
        <v>2.0</v>
      </c>
      <c r="D491" s="6">
        <v>2.0</v>
      </c>
      <c r="E491" s="6">
        <v>0.0</v>
      </c>
      <c r="F491" s="6">
        <v>2.0</v>
      </c>
      <c r="G491" s="6">
        <v>2.0</v>
      </c>
      <c r="H491" s="6">
        <v>2.0</v>
      </c>
      <c r="I491" s="6">
        <v>1.0</v>
      </c>
      <c r="J491" s="6">
        <v>0.0</v>
      </c>
      <c r="K491" s="6">
        <v>2.0</v>
      </c>
      <c r="L491" s="6">
        <v>0.0</v>
      </c>
      <c r="M491" s="6">
        <v>0.0</v>
      </c>
      <c r="N491" s="6">
        <v>1.0</v>
      </c>
      <c r="O491" s="6">
        <v>0.0</v>
      </c>
      <c r="P491" s="6">
        <v>0.0</v>
      </c>
      <c r="Q491" s="6">
        <v>0.0</v>
      </c>
      <c r="R491" s="6">
        <v>0.0</v>
      </c>
      <c r="T491" s="42">
        <f t="shared" si="193"/>
        <v>6</v>
      </c>
      <c r="U491" s="42">
        <f t="shared" si="194"/>
        <v>5</v>
      </c>
      <c r="V491" s="42">
        <f t="shared" si="195"/>
        <v>3</v>
      </c>
      <c r="W491" s="42">
        <f t="shared" si="196"/>
        <v>0</v>
      </c>
      <c r="X491" s="42">
        <f t="shared" si="197"/>
        <v>14</v>
      </c>
    </row>
    <row r="492">
      <c r="B492" s="5" t="s">
        <v>12</v>
      </c>
      <c r="C492" s="6">
        <v>0.0</v>
      </c>
      <c r="D492" s="6">
        <v>0.0</v>
      </c>
      <c r="E492" s="6">
        <v>0.0</v>
      </c>
      <c r="F492" s="6">
        <v>0.0</v>
      </c>
      <c r="G492" s="6">
        <v>2.0</v>
      </c>
      <c r="H492" s="6">
        <v>2.0</v>
      </c>
      <c r="I492" s="6">
        <v>2.0</v>
      </c>
      <c r="J492" s="6">
        <v>0.0</v>
      </c>
      <c r="K492" s="6">
        <v>2.0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0.0</v>
      </c>
      <c r="R492" s="6">
        <v>0.0</v>
      </c>
      <c r="T492" s="42">
        <f t="shared" si="193"/>
        <v>0</v>
      </c>
      <c r="U492" s="42">
        <f t="shared" si="194"/>
        <v>6</v>
      </c>
      <c r="V492" s="42">
        <f t="shared" si="195"/>
        <v>2</v>
      </c>
      <c r="W492" s="42">
        <f t="shared" si="196"/>
        <v>0</v>
      </c>
      <c r="X492" s="42">
        <f t="shared" si="197"/>
        <v>8</v>
      </c>
    </row>
    <row r="493">
      <c r="B493" s="5" t="s">
        <v>13</v>
      </c>
      <c r="C493" s="6">
        <v>2.0</v>
      </c>
      <c r="D493" s="6">
        <v>2.0</v>
      </c>
      <c r="E493" s="6">
        <v>0.0</v>
      </c>
      <c r="F493" s="6">
        <v>0.0</v>
      </c>
      <c r="G493" s="6">
        <v>1.0</v>
      </c>
      <c r="H493" s="6">
        <v>1.0</v>
      </c>
      <c r="I493" s="6">
        <v>1.0</v>
      </c>
      <c r="J493" s="6">
        <v>1.0</v>
      </c>
      <c r="K493" s="6">
        <v>2.0</v>
      </c>
      <c r="L493" s="6">
        <v>0.0</v>
      </c>
      <c r="M493" s="6">
        <v>0.0</v>
      </c>
      <c r="N493" s="6">
        <v>2.0</v>
      </c>
      <c r="O493" s="6">
        <v>2.0</v>
      </c>
      <c r="P493" s="6">
        <v>2.0</v>
      </c>
      <c r="Q493" s="6">
        <v>0.0</v>
      </c>
      <c r="R493" s="6">
        <v>1.0</v>
      </c>
      <c r="T493" s="42">
        <f t="shared" si="193"/>
        <v>4</v>
      </c>
      <c r="U493" s="42">
        <f t="shared" si="194"/>
        <v>4</v>
      </c>
      <c r="V493" s="42">
        <f t="shared" si="195"/>
        <v>4</v>
      </c>
      <c r="W493" s="42">
        <f t="shared" si="196"/>
        <v>5</v>
      </c>
      <c r="X493" s="42">
        <f t="shared" si="197"/>
        <v>17</v>
      </c>
    </row>
    <row r="494">
      <c r="B494" s="5" t="s">
        <v>14</v>
      </c>
      <c r="C494" s="6">
        <v>2.0</v>
      </c>
      <c r="D494" s="6">
        <v>0.0</v>
      </c>
      <c r="E494" s="6">
        <v>0.0</v>
      </c>
      <c r="F494" s="6">
        <v>1.0</v>
      </c>
      <c r="G494" s="6">
        <v>1.0</v>
      </c>
      <c r="H494" s="6">
        <v>2.0</v>
      </c>
      <c r="I494" s="6">
        <v>2.0</v>
      </c>
      <c r="J494" s="6">
        <v>2.0</v>
      </c>
      <c r="K494" s="6">
        <v>1.0</v>
      </c>
      <c r="L494" s="6">
        <v>0.0</v>
      </c>
      <c r="M494" s="6">
        <v>0.0</v>
      </c>
      <c r="N494" s="6">
        <v>2.0</v>
      </c>
      <c r="O494" s="6">
        <v>2.0</v>
      </c>
      <c r="P494" s="6">
        <v>2.0</v>
      </c>
      <c r="Q494" s="6">
        <v>2.0</v>
      </c>
      <c r="R494" s="6">
        <v>2.0</v>
      </c>
      <c r="T494" s="42">
        <f t="shared" si="193"/>
        <v>3</v>
      </c>
      <c r="U494" s="42">
        <f t="shared" si="194"/>
        <v>7</v>
      </c>
      <c r="V494" s="42">
        <f t="shared" si="195"/>
        <v>3</v>
      </c>
      <c r="W494" s="42">
        <f t="shared" si="196"/>
        <v>8</v>
      </c>
      <c r="X494" s="42">
        <f t="shared" si="197"/>
        <v>21</v>
      </c>
    </row>
    <row r="495">
      <c r="B495" s="5" t="s">
        <v>15</v>
      </c>
      <c r="C495" s="6">
        <v>2.0</v>
      </c>
      <c r="D495" s="6">
        <v>2.0</v>
      </c>
      <c r="E495" s="6">
        <v>0.0</v>
      </c>
      <c r="F495" s="6">
        <v>2.0</v>
      </c>
      <c r="G495" s="6">
        <v>2.0</v>
      </c>
      <c r="H495" s="6">
        <v>2.0</v>
      </c>
      <c r="I495" s="6">
        <v>2.0</v>
      </c>
      <c r="J495" s="6">
        <v>1.0</v>
      </c>
      <c r="K495" s="6">
        <v>2.0</v>
      </c>
      <c r="L495" s="6">
        <v>1.0</v>
      </c>
      <c r="M495" s="6">
        <v>0.0</v>
      </c>
      <c r="N495" s="6">
        <v>2.0</v>
      </c>
      <c r="O495" s="6">
        <v>2.0</v>
      </c>
      <c r="P495" s="6">
        <v>0.0</v>
      </c>
      <c r="Q495" s="6">
        <v>0.0</v>
      </c>
      <c r="R495" s="6">
        <v>0.0</v>
      </c>
      <c r="T495" s="42">
        <f t="shared" si="193"/>
        <v>6</v>
      </c>
      <c r="U495" s="42">
        <f t="shared" si="194"/>
        <v>7</v>
      </c>
      <c r="V495" s="42">
        <f t="shared" si="195"/>
        <v>5</v>
      </c>
      <c r="W495" s="42">
        <f t="shared" si="196"/>
        <v>2</v>
      </c>
      <c r="X495" s="42">
        <f t="shared" si="197"/>
        <v>20</v>
      </c>
    </row>
    <row r="496">
      <c r="B496" s="8" t="s">
        <v>16</v>
      </c>
      <c r="C496" s="6">
        <v>0.0</v>
      </c>
      <c r="D496" s="6">
        <v>1.0</v>
      </c>
      <c r="E496" s="6">
        <v>0.0</v>
      </c>
      <c r="F496" s="6">
        <v>0.0</v>
      </c>
      <c r="G496" s="6">
        <v>2.0</v>
      </c>
      <c r="H496" s="6">
        <v>2.0</v>
      </c>
      <c r="I496" s="6">
        <v>1.0</v>
      </c>
      <c r="J496" s="6">
        <v>0.0</v>
      </c>
      <c r="K496" s="6">
        <v>2.0</v>
      </c>
      <c r="L496" s="6">
        <v>0.0</v>
      </c>
      <c r="M496" s="6">
        <v>0.0</v>
      </c>
      <c r="N496" s="6">
        <v>1.0</v>
      </c>
      <c r="O496" s="6">
        <v>1.0</v>
      </c>
      <c r="P496" s="6">
        <v>0.0</v>
      </c>
      <c r="Q496" s="6">
        <v>0.0</v>
      </c>
      <c r="R496" s="6">
        <v>0.0</v>
      </c>
      <c r="T496" s="42">
        <f t="shared" si="193"/>
        <v>1</v>
      </c>
      <c r="U496" s="42">
        <f t="shared" si="194"/>
        <v>5</v>
      </c>
      <c r="V496" s="42">
        <f t="shared" si="195"/>
        <v>3</v>
      </c>
      <c r="W496" s="42">
        <f t="shared" si="196"/>
        <v>1</v>
      </c>
      <c r="X496" s="42">
        <f t="shared" si="197"/>
        <v>10</v>
      </c>
    </row>
    <row r="497">
      <c r="B497" s="8" t="s">
        <v>17</v>
      </c>
      <c r="C497" s="6">
        <v>1.0</v>
      </c>
      <c r="D497" s="6">
        <v>2.0</v>
      </c>
      <c r="E497" s="6">
        <v>0.0</v>
      </c>
      <c r="F497" s="6">
        <v>1.0</v>
      </c>
      <c r="G497" s="6">
        <v>2.0</v>
      </c>
      <c r="H497" s="6">
        <v>2.0</v>
      </c>
      <c r="I497" s="6">
        <v>1.0</v>
      </c>
      <c r="J497" s="6">
        <v>2.0</v>
      </c>
      <c r="K497" s="6">
        <v>2.0</v>
      </c>
      <c r="L497" s="6">
        <v>1.0</v>
      </c>
      <c r="M497" s="6">
        <v>1.0</v>
      </c>
      <c r="N497" s="6">
        <v>2.0</v>
      </c>
      <c r="O497" s="6">
        <v>2.0</v>
      </c>
      <c r="P497" s="6">
        <v>2.0</v>
      </c>
      <c r="Q497" s="6">
        <v>0.0</v>
      </c>
      <c r="R497" s="6">
        <v>2.0</v>
      </c>
      <c r="T497" s="42">
        <f t="shared" si="193"/>
        <v>4</v>
      </c>
      <c r="U497" s="42">
        <f t="shared" si="194"/>
        <v>7</v>
      </c>
      <c r="V497" s="42">
        <f t="shared" si="195"/>
        <v>6</v>
      </c>
      <c r="W497" s="42">
        <f t="shared" si="196"/>
        <v>6</v>
      </c>
      <c r="X497" s="42">
        <f t="shared" si="197"/>
        <v>23</v>
      </c>
    </row>
    <row r="498">
      <c r="B498" s="8" t="s">
        <v>18</v>
      </c>
      <c r="C498" s="6">
        <v>2.0</v>
      </c>
      <c r="D498" s="6">
        <v>1.0</v>
      </c>
      <c r="E498" s="6">
        <v>0.0</v>
      </c>
      <c r="F498" s="6">
        <v>0.0</v>
      </c>
      <c r="G498" s="6">
        <v>2.0</v>
      </c>
      <c r="H498" s="6">
        <v>2.0</v>
      </c>
      <c r="I498" s="6">
        <v>2.0</v>
      </c>
      <c r="J498" s="6">
        <v>1.0</v>
      </c>
      <c r="K498" s="6">
        <v>2.0</v>
      </c>
      <c r="L498" s="6">
        <v>1.0</v>
      </c>
      <c r="M498" s="6">
        <v>0.0</v>
      </c>
      <c r="N498" s="6">
        <v>1.0</v>
      </c>
      <c r="O498" s="6">
        <v>2.0</v>
      </c>
      <c r="P498" s="6">
        <v>0.0</v>
      </c>
      <c r="Q498" s="6">
        <v>0.0</v>
      </c>
      <c r="R498" s="6">
        <v>0.0</v>
      </c>
      <c r="T498" s="42">
        <f t="shared" si="193"/>
        <v>3</v>
      </c>
      <c r="U498" s="42">
        <f t="shared" si="194"/>
        <v>7</v>
      </c>
      <c r="V498" s="42">
        <f t="shared" si="195"/>
        <v>4</v>
      </c>
      <c r="W498" s="42">
        <f t="shared" si="196"/>
        <v>2</v>
      </c>
      <c r="X498" s="42">
        <f t="shared" si="197"/>
        <v>16</v>
      </c>
    </row>
    <row r="499">
      <c r="B499" s="8" t="s">
        <v>19</v>
      </c>
      <c r="C499" s="6">
        <v>2.0</v>
      </c>
      <c r="D499" s="6">
        <v>1.0</v>
      </c>
      <c r="E499" s="6">
        <v>2.0</v>
      </c>
      <c r="F499" s="6">
        <v>1.0</v>
      </c>
      <c r="G499" s="6">
        <v>1.0</v>
      </c>
      <c r="H499" s="6">
        <v>1.0</v>
      </c>
      <c r="I499" s="6">
        <v>1.0</v>
      </c>
      <c r="J499" s="6">
        <v>0.0</v>
      </c>
      <c r="K499" s="6">
        <v>2.0</v>
      </c>
      <c r="L499" s="6">
        <v>2.0</v>
      </c>
      <c r="M499" s="6">
        <v>1.0</v>
      </c>
      <c r="N499" s="6">
        <v>1.0</v>
      </c>
      <c r="O499" s="6">
        <v>2.0</v>
      </c>
      <c r="P499" s="6">
        <v>2.0</v>
      </c>
      <c r="Q499" s="6">
        <v>2.0</v>
      </c>
      <c r="R499" s="6">
        <v>0.0</v>
      </c>
      <c r="T499" s="42">
        <f t="shared" si="193"/>
        <v>6</v>
      </c>
      <c r="U499" s="42">
        <f t="shared" si="194"/>
        <v>3</v>
      </c>
      <c r="V499" s="42">
        <f t="shared" si="195"/>
        <v>6</v>
      </c>
      <c r="W499" s="42">
        <f t="shared" si="196"/>
        <v>6</v>
      </c>
      <c r="X499" s="42">
        <f t="shared" si="197"/>
        <v>21</v>
      </c>
    </row>
    <row r="500">
      <c r="B500" s="8" t="s">
        <v>20</v>
      </c>
      <c r="C500" s="6">
        <v>0.0</v>
      </c>
      <c r="D500" s="6">
        <v>1.0</v>
      </c>
      <c r="E500" s="6">
        <v>0.0</v>
      </c>
      <c r="F500" s="6">
        <v>0.0</v>
      </c>
      <c r="G500" s="6">
        <v>1.0</v>
      </c>
      <c r="H500" s="6">
        <v>1.0</v>
      </c>
      <c r="I500" s="6">
        <v>1.0</v>
      </c>
      <c r="J500" s="6">
        <v>1.0</v>
      </c>
      <c r="K500" s="6">
        <v>0.0</v>
      </c>
      <c r="L500" s="6">
        <v>0.0</v>
      </c>
      <c r="M500" s="6">
        <v>0.0</v>
      </c>
      <c r="N500" s="6">
        <v>1.0</v>
      </c>
      <c r="O500" s="6">
        <v>1.0</v>
      </c>
      <c r="P500" s="6">
        <v>0.0</v>
      </c>
      <c r="Q500" s="6">
        <v>0.0</v>
      </c>
      <c r="R500" s="6">
        <v>0.0</v>
      </c>
      <c r="T500" s="42">
        <f t="shared" si="193"/>
        <v>1</v>
      </c>
      <c r="U500" s="42">
        <f t="shared" si="194"/>
        <v>4</v>
      </c>
      <c r="V500" s="42">
        <f t="shared" si="195"/>
        <v>1</v>
      </c>
      <c r="W500" s="42">
        <f t="shared" si="196"/>
        <v>1</v>
      </c>
      <c r="X500" s="42">
        <f t="shared" si="197"/>
        <v>7</v>
      </c>
      <c r="AF500" s="4"/>
      <c r="AG500" s="4"/>
      <c r="AH500" s="4"/>
      <c r="AI500" s="4"/>
      <c r="AJ500" s="4"/>
      <c r="AK500" s="4"/>
      <c r="AL500" s="4"/>
      <c r="AM500" s="4"/>
      <c r="AN500" s="4"/>
      <c r="AQ500" s="4"/>
      <c r="AR500" s="4"/>
      <c r="AS500" s="4"/>
      <c r="AT500" s="4"/>
      <c r="AU500" s="4"/>
    </row>
    <row r="501">
      <c r="B501" s="8" t="s">
        <v>21</v>
      </c>
      <c r="C501" s="6">
        <v>0.0</v>
      </c>
      <c r="D501" s="6">
        <v>1.0</v>
      </c>
      <c r="E501" s="6">
        <v>0.0</v>
      </c>
      <c r="F501" s="6">
        <v>0.0</v>
      </c>
      <c r="G501" s="6">
        <v>1.0</v>
      </c>
      <c r="H501" s="6">
        <v>1.0</v>
      </c>
      <c r="I501" s="6">
        <v>0.0</v>
      </c>
      <c r="J501" s="6">
        <v>0.0</v>
      </c>
      <c r="K501" s="6">
        <v>1.0</v>
      </c>
      <c r="L501" s="6">
        <v>0.0</v>
      </c>
      <c r="M501" s="6">
        <v>0.0</v>
      </c>
      <c r="N501" s="6">
        <v>1.0</v>
      </c>
      <c r="O501" s="6">
        <v>0.0</v>
      </c>
      <c r="P501" s="6">
        <v>0.0</v>
      </c>
      <c r="Q501" s="6">
        <v>0.0</v>
      </c>
      <c r="R501" s="6">
        <v>0.0</v>
      </c>
      <c r="T501" s="42">
        <f t="shared" si="193"/>
        <v>1</v>
      </c>
      <c r="U501" s="42">
        <f t="shared" si="194"/>
        <v>2</v>
      </c>
      <c r="V501" s="42">
        <f t="shared" si="195"/>
        <v>2</v>
      </c>
      <c r="W501" s="42">
        <f t="shared" si="196"/>
        <v>0</v>
      </c>
      <c r="X501" s="42">
        <f t="shared" si="197"/>
        <v>5</v>
      </c>
    </row>
    <row r="502">
      <c r="B502" s="8" t="s">
        <v>22</v>
      </c>
      <c r="C502" s="6">
        <v>0.0</v>
      </c>
      <c r="D502" s="6">
        <v>1.0</v>
      </c>
      <c r="E502" s="6">
        <v>0.0</v>
      </c>
      <c r="F502" s="6">
        <v>0.0</v>
      </c>
      <c r="G502" s="6">
        <v>2.0</v>
      </c>
      <c r="H502" s="6">
        <v>2.0</v>
      </c>
      <c r="I502" s="6">
        <v>2.0</v>
      </c>
      <c r="J502" s="6">
        <v>0.0</v>
      </c>
      <c r="K502" s="6">
        <v>1.0</v>
      </c>
      <c r="L502" s="6">
        <v>0.0</v>
      </c>
      <c r="M502" s="6">
        <v>0.0</v>
      </c>
      <c r="N502" s="6">
        <v>0.0</v>
      </c>
      <c r="O502" s="6">
        <v>0.0</v>
      </c>
      <c r="P502" s="6">
        <v>2.0</v>
      </c>
      <c r="Q502" s="6">
        <v>1.0</v>
      </c>
      <c r="R502" s="6">
        <v>0.0</v>
      </c>
      <c r="T502" s="42">
        <f t="shared" si="193"/>
        <v>1</v>
      </c>
      <c r="U502" s="42">
        <f t="shared" si="194"/>
        <v>6</v>
      </c>
      <c r="V502" s="42">
        <f t="shared" si="195"/>
        <v>1</v>
      </c>
      <c r="W502" s="42">
        <f t="shared" si="196"/>
        <v>3</v>
      </c>
      <c r="X502" s="42">
        <f t="shared" si="197"/>
        <v>11</v>
      </c>
    </row>
    <row r="503">
      <c r="B503" s="8" t="s">
        <v>23</v>
      </c>
      <c r="C503" s="6">
        <v>1.0</v>
      </c>
      <c r="D503" s="6">
        <v>1.0</v>
      </c>
      <c r="E503" s="6">
        <v>0.0</v>
      </c>
      <c r="F503" s="6">
        <v>0.0</v>
      </c>
      <c r="G503" s="6">
        <v>0.0</v>
      </c>
      <c r="H503" s="6">
        <v>0.0</v>
      </c>
      <c r="I503" s="6">
        <v>0.0</v>
      </c>
      <c r="J503" s="6">
        <v>1.0</v>
      </c>
      <c r="K503" s="6">
        <v>0.0</v>
      </c>
      <c r="L503" s="6">
        <v>0.0</v>
      </c>
      <c r="M503" s="6">
        <v>0.0</v>
      </c>
      <c r="N503" s="6">
        <v>1.0</v>
      </c>
      <c r="O503" s="6">
        <v>1.0</v>
      </c>
      <c r="P503" s="6">
        <v>0.0</v>
      </c>
      <c r="Q503" s="6">
        <v>0.0</v>
      </c>
      <c r="R503" s="6">
        <v>1.0</v>
      </c>
      <c r="T503" s="42">
        <f t="shared" si="193"/>
        <v>2</v>
      </c>
      <c r="U503" s="42">
        <f t="shared" si="194"/>
        <v>1</v>
      </c>
      <c r="V503" s="42">
        <f t="shared" si="195"/>
        <v>1</v>
      </c>
      <c r="W503" s="42">
        <f t="shared" si="196"/>
        <v>2</v>
      </c>
      <c r="X503" s="42">
        <f t="shared" si="197"/>
        <v>6</v>
      </c>
    </row>
    <row r="504">
      <c r="B504" s="8" t="s">
        <v>24</v>
      </c>
      <c r="C504" s="6">
        <v>0.0</v>
      </c>
      <c r="D504" s="6">
        <v>0.0</v>
      </c>
      <c r="E504" s="6">
        <v>0.0</v>
      </c>
      <c r="F504" s="6">
        <v>0.0</v>
      </c>
      <c r="G504" s="6">
        <v>1.0</v>
      </c>
      <c r="H504" s="6">
        <v>1.0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>
        <v>1.0</v>
      </c>
      <c r="P504" s="6">
        <v>0.0</v>
      </c>
      <c r="Q504" s="6">
        <v>0.0</v>
      </c>
      <c r="R504" s="6">
        <v>0.0</v>
      </c>
      <c r="T504" s="42">
        <f t="shared" si="193"/>
        <v>0</v>
      </c>
      <c r="U504" s="42">
        <f t="shared" si="194"/>
        <v>2</v>
      </c>
      <c r="V504" s="42">
        <f t="shared" si="195"/>
        <v>0</v>
      </c>
      <c r="W504" s="42">
        <f t="shared" si="196"/>
        <v>1</v>
      </c>
      <c r="X504" s="42">
        <f t="shared" si="197"/>
        <v>3</v>
      </c>
    </row>
    <row r="505">
      <c r="B505" s="8" t="s">
        <v>25</v>
      </c>
      <c r="C505" s="6">
        <v>2.0</v>
      </c>
      <c r="D505" s="6">
        <v>0.0</v>
      </c>
      <c r="E505" s="6">
        <v>0.0</v>
      </c>
      <c r="F505" s="6">
        <v>0.0</v>
      </c>
      <c r="G505" s="6">
        <v>1.0</v>
      </c>
      <c r="H505" s="6">
        <v>1.0</v>
      </c>
      <c r="I505" s="6">
        <v>1.0</v>
      </c>
      <c r="J505" s="6">
        <v>0.0</v>
      </c>
      <c r="K505" s="6">
        <v>0.0</v>
      </c>
      <c r="L505" s="6">
        <v>0.0</v>
      </c>
      <c r="M505" s="6">
        <v>0.0</v>
      </c>
      <c r="N505" s="6">
        <v>1.0</v>
      </c>
      <c r="O505" s="6">
        <v>2.0</v>
      </c>
      <c r="P505" s="6">
        <v>1.0</v>
      </c>
      <c r="Q505" s="6">
        <v>0.0</v>
      </c>
      <c r="R505" s="6">
        <v>0.0</v>
      </c>
      <c r="T505" s="42">
        <f t="shared" si="193"/>
        <v>2</v>
      </c>
      <c r="U505" s="42">
        <f t="shared" si="194"/>
        <v>3</v>
      </c>
      <c r="V505" s="42">
        <f t="shared" si="195"/>
        <v>1</v>
      </c>
      <c r="W505" s="42">
        <f t="shared" si="196"/>
        <v>3</v>
      </c>
      <c r="X505" s="42">
        <f t="shared" si="197"/>
        <v>9</v>
      </c>
    </row>
    <row r="506">
      <c r="B506" s="8" t="s">
        <v>26</v>
      </c>
      <c r="C506" s="6">
        <v>2.0</v>
      </c>
      <c r="D506" s="6">
        <v>0.0</v>
      </c>
      <c r="E506" s="6">
        <v>0.0</v>
      </c>
      <c r="F506" s="6">
        <v>2.0</v>
      </c>
      <c r="G506" s="6">
        <v>2.0</v>
      </c>
      <c r="H506" s="6">
        <v>2.0</v>
      </c>
      <c r="I506" s="6">
        <v>2.0</v>
      </c>
      <c r="J506" s="6">
        <v>2.0</v>
      </c>
      <c r="K506" s="6">
        <v>1.0</v>
      </c>
      <c r="L506" s="6">
        <v>0.0</v>
      </c>
      <c r="M506" s="6">
        <v>0.0</v>
      </c>
      <c r="N506" s="6">
        <v>2.0</v>
      </c>
      <c r="O506" s="6">
        <v>0.0</v>
      </c>
      <c r="P506" s="6">
        <v>0.0</v>
      </c>
      <c r="Q506" s="6">
        <v>0.0</v>
      </c>
      <c r="R506" s="6">
        <v>0.0</v>
      </c>
      <c r="T506" s="42">
        <f t="shared" si="193"/>
        <v>4</v>
      </c>
      <c r="U506" s="42">
        <f t="shared" si="194"/>
        <v>8</v>
      </c>
      <c r="V506" s="42">
        <f t="shared" si="195"/>
        <v>3</v>
      </c>
      <c r="W506" s="42">
        <f t="shared" si="196"/>
        <v>0</v>
      </c>
      <c r="X506" s="42">
        <f t="shared" si="197"/>
        <v>15</v>
      </c>
    </row>
    <row r="507">
      <c r="B507" s="9" t="s">
        <v>27</v>
      </c>
      <c r="C507" s="6">
        <v>2.0</v>
      </c>
      <c r="D507" s="6">
        <v>0.0</v>
      </c>
      <c r="E507" s="6">
        <v>0.0</v>
      </c>
      <c r="F507" s="6">
        <v>0.0</v>
      </c>
      <c r="G507" s="6">
        <v>2.0</v>
      </c>
      <c r="H507" s="6">
        <v>1.0</v>
      </c>
      <c r="I507" s="6">
        <v>2.0</v>
      </c>
      <c r="J507" s="6">
        <v>2.0</v>
      </c>
      <c r="K507" s="6">
        <v>1.0</v>
      </c>
      <c r="L507" s="6">
        <v>0.0</v>
      </c>
      <c r="M507" s="6">
        <v>0.0</v>
      </c>
      <c r="N507" s="6">
        <v>1.0</v>
      </c>
      <c r="O507" s="6">
        <v>2.0</v>
      </c>
      <c r="P507" s="6">
        <v>0.0</v>
      </c>
      <c r="Q507" s="6">
        <v>0.0</v>
      </c>
      <c r="R507" s="6">
        <v>0.0</v>
      </c>
      <c r="T507" s="42">
        <f t="shared" si="193"/>
        <v>2</v>
      </c>
      <c r="U507" s="42">
        <f t="shared" si="194"/>
        <v>7</v>
      </c>
      <c r="V507" s="42">
        <f t="shared" si="195"/>
        <v>2</v>
      </c>
      <c r="W507" s="42">
        <f t="shared" si="196"/>
        <v>2</v>
      </c>
      <c r="X507" s="42">
        <f t="shared" si="197"/>
        <v>13</v>
      </c>
    </row>
    <row r="508">
      <c r="B508" s="9" t="s">
        <v>28</v>
      </c>
      <c r="C508" s="6">
        <v>2.0</v>
      </c>
      <c r="D508" s="6">
        <v>0.0</v>
      </c>
      <c r="E508" s="6">
        <v>0.0</v>
      </c>
      <c r="F508" s="6">
        <v>0.0</v>
      </c>
      <c r="G508" s="6">
        <v>2.0</v>
      </c>
      <c r="H508" s="6">
        <v>2.0</v>
      </c>
      <c r="I508" s="6">
        <v>2.0</v>
      </c>
      <c r="J508" s="6">
        <v>2.0</v>
      </c>
      <c r="K508" s="6">
        <v>2.0</v>
      </c>
      <c r="L508" s="6">
        <v>0.0</v>
      </c>
      <c r="M508" s="6">
        <v>0.0</v>
      </c>
      <c r="N508" s="6">
        <v>2.0</v>
      </c>
      <c r="O508" s="6">
        <v>1.0</v>
      </c>
      <c r="P508" s="6">
        <v>0.0</v>
      </c>
      <c r="Q508" s="6">
        <v>0.0</v>
      </c>
      <c r="R508" s="6">
        <v>0.0</v>
      </c>
      <c r="T508" s="42">
        <f t="shared" si="193"/>
        <v>2</v>
      </c>
      <c r="U508" s="42">
        <f t="shared" si="194"/>
        <v>8</v>
      </c>
      <c r="V508" s="42">
        <f t="shared" si="195"/>
        <v>4</v>
      </c>
      <c r="W508" s="42">
        <f t="shared" si="196"/>
        <v>1</v>
      </c>
      <c r="X508" s="42">
        <f t="shared" si="197"/>
        <v>15</v>
      </c>
    </row>
    <row r="509">
      <c r="B509" s="8" t="s">
        <v>29</v>
      </c>
      <c r="C509" s="6">
        <v>2.0</v>
      </c>
      <c r="D509" s="6">
        <v>0.0</v>
      </c>
      <c r="E509" s="6">
        <v>0.0</v>
      </c>
      <c r="F509" s="6">
        <v>0.0</v>
      </c>
      <c r="G509" s="6">
        <v>2.0</v>
      </c>
      <c r="H509" s="6">
        <v>1.0</v>
      </c>
      <c r="I509" s="6">
        <v>2.0</v>
      </c>
      <c r="J509" s="6">
        <v>0.0</v>
      </c>
      <c r="K509" s="6">
        <v>2.0</v>
      </c>
      <c r="L509" s="6">
        <v>0.0</v>
      </c>
      <c r="M509" s="6">
        <v>0.0</v>
      </c>
      <c r="N509" s="6">
        <v>1.0</v>
      </c>
      <c r="O509" s="6">
        <v>2.0</v>
      </c>
      <c r="P509" s="6">
        <v>2.0</v>
      </c>
      <c r="Q509" s="6">
        <v>0.0</v>
      </c>
      <c r="R509" s="6">
        <v>0.0</v>
      </c>
      <c r="T509" s="42">
        <f t="shared" si="193"/>
        <v>2</v>
      </c>
      <c r="U509" s="42">
        <f t="shared" si="194"/>
        <v>5</v>
      </c>
      <c r="V509" s="42">
        <f t="shared" si="195"/>
        <v>3</v>
      </c>
      <c r="W509" s="42">
        <f t="shared" si="196"/>
        <v>4</v>
      </c>
      <c r="X509" s="42">
        <f t="shared" si="197"/>
        <v>14</v>
      </c>
    </row>
    <row r="510">
      <c r="B510" s="8" t="s">
        <v>30</v>
      </c>
      <c r="C510" s="44" t="s">
        <v>151</v>
      </c>
      <c r="D510" s="44" t="s">
        <v>151</v>
      </c>
      <c r="E510" s="44" t="s">
        <v>151</v>
      </c>
      <c r="F510" s="44" t="s">
        <v>151</v>
      </c>
      <c r="G510" s="44" t="s">
        <v>151</v>
      </c>
      <c r="H510" s="44" t="s">
        <v>151</v>
      </c>
      <c r="I510" s="44" t="s">
        <v>151</v>
      </c>
      <c r="J510" s="44" t="s">
        <v>151</v>
      </c>
      <c r="K510" s="44" t="s">
        <v>151</v>
      </c>
      <c r="L510" s="44" t="s">
        <v>151</v>
      </c>
      <c r="M510" s="44" t="s">
        <v>151</v>
      </c>
      <c r="N510" s="44" t="s">
        <v>151</v>
      </c>
      <c r="O510" s="44" t="s">
        <v>151</v>
      </c>
      <c r="P510" s="44" t="s">
        <v>151</v>
      </c>
      <c r="Q510" s="44" t="s">
        <v>151</v>
      </c>
      <c r="R510" s="44" t="s">
        <v>151</v>
      </c>
      <c r="T510" s="6" t="s">
        <v>151</v>
      </c>
      <c r="U510" s="6" t="s">
        <v>151</v>
      </c>
      <c r="V510" s="6" t="s">
        <v>151</v>
      </c>
      <c r="W510" s="6" t="s">
        <v>151</v>
      </c>
      <c r="X510" s="6" t="s">
        <v>151</v>
      </c>
    </row>
    <row r="511">
      <c r="B511" s="8" t="s">
        <v>31</v>
      </c>
      <c r="C511" s="44" t="s">
        <v>151</v>
      </c>
      <c r="D511" s="44" t="s">
        <v>151</v>
      </c>
      <c r="E511" s="44" t="s">
        <v>151</v>
      </c>
      <c r="F511" s="44" t="s">
        <v>151</v>
      </c>
      <c r="G511" s="44" t="s">
        <v>151</v>
      </c>
      <c r="H511" s="44" t="s">
        <v>151</v>
      </c>
      <c r="I511" s="44" t="s">
        <v>151</v>
      </c>
      <c r="J511" s="44" t="s">
        <v>151</v>
      </c>
      <c r="K511" s="44" t="s">
        <v>151</v>
      </c>
      <c r="L511" s="44" t="s">
        <v>151</v>
      </c>
      <c r="M511" s="44" t="s">
        <v>151</v>
      </c>
      <c r="N511" s="44" t="s">
        <v>151</v>
      </c>
      <c r="O511" s="44" t="s">
        <v>151</v>
      </c>
      <c r="P511" s="44" t="s">
        <v>151</v>
      </c>
      <c r="Q511" s="44" t="s">
        <v>151</v>
      </c>
      <c r="R511" s="44" t="s">
        <v>151</v>
      </c>
      <c r="T511" s="6" t="s">
        <v>151</v>
      </c>
      <c r="U511" s="6" t="s">
        <v>151</v>
      </c>
      <c r="V511" s="6" t="s">
        <v>151</v>
      </c>
      <c r="W511" s="6" t="s">
        <v>151</v>
      </c>
      <c r="X511" s="6" t="s">
        <v>151</v>
      </c>
    </row>
    <row r="512">
      <c r="B512" s="8" t="s">
        <v>32</v>
      </c>
      <c r="C512" s="44" t="s">
        <v>151</v>
      </c>
      <c r="D512" s="44" t="s">
        <v>151</v>
      </c>
      <c r="E512" s="44" t="s">
        <v>151</v>
      </c>
      <c r="F512" s="44" t="s">
        <v>151</v>
      </c>
      <c r="G512" s="44" t="s">
        <v>151</v>
      </c>
      <c r="H512" s="44" t="s">
        <v>151</v>
      </c>
      <c r="I512" s="44" t="s">
        <v>151</v>
      </c>
      <c r="J512" s="44" t="s">
        <v>151</v>
      </c>
      <c r="K512" s="44" t="s">
        <v>151</v>
      </c>
      <c r="L512" s="44" t="s">
        <v>151</v>
      </c>
      <c r="M512" s="44" t="s">
        <v>151</v>
      </c>
      <c r="N512" s="44" t="s">
        <v>151</v>
      </c>
      <c r="O512" s="44" t="s">
        <v>151</v>
      </c>
      <c r="P512" s="44" t="s">
        <v>151</v>
      </c>
      <c r="Q512" s="44" t="s">
        <v>151</v>
      </c>
      <c r="R512" s="44" t="s">
        <v>151</v>
      </c>
      <c r="T512" s="6" t="s">
        <v>151</v>
      </c>
      <c r="U512" s="6" t="s">
        <v>151</v>
      </c>
      <c r="V512" s="6" t="s">
        <v>151</v>
      </c>
      <c r="W512" s="6" t="s">
        <v>151</v>
      </c>
      <c r="X512" s="6" t="s">
        <v>151</v>
      </c>
    </row>
    <row r="513">
      <c r="B513" s="8" t="s">
        <v>33</v>
      </c>
      <c r="C513" s="6">
        <v>0.0</v>
      </c>
      <c r="D513" s="6">
        <v>1.0</v>
      </c>
      <c r="E513" s="6">
        <v>0.0</v>
      </c>
      <c r="F513" s="6">
        <v>0.0</v>
      </c>
      <c r="G513" s="6">
        <v>1.0</v>
      </c>
      <c r="H513" s="6">
        <v>1.0</v>
      </c>
      <c r="I513" s="6">
        <v>1.0</v>
      </c>
      <c r="J513" s="6">
        <v>0.0</v>
      </c>
      <c r="K513" s="6">
        <v>2.0</v>
      </c>
      <c r="L513" s="6">
        <v>0.0</v>
      </c>
      <c r="M513" s="6">
        <v>0.0</v>
      </c>
      <c r="N513" s="6">
        <v>0.0</v>
      </c>
      <c r="O513" s="6">
        <v>1.0</v>
      </c>
      <c r="P513" s="6">
        <v>0.0</v>
      </c>
      <c r="Q513" s="6">
        <v>0.0</v>
      </c>
      <c r="R513" s="6">
        <v>0.0</v>
      </c>
      <c r="T513" s="42">
        <f t="shared" ref="T513:T516" si="198">sum(C513:F513)</f>
        <v>1</v>
      </c>
      <c r="U513" s="42">
        <f t="shared" ref="U513:U516" si="199">sum(G513:J513)</f>
        <v>3</v>
      </c>
      <c r="V513" s="42">
        <f t="shared" ref="V513:V516" si="200">sum(K513:N513)</f>
        <v>2</v>
      </c>
      <c r="W513" s="42">
        <f t="shared" ref="W513:W516" si="201">sum(O513:R513)</f>
        <v>1</v>
      </c>
      <c r="X513" s="42">
        <f t="shared" ref="X513:X516" si="202">sum(T513:W513)</f>
        <v>7</v>
      </c>
    </row>
    <row r="514">
      <c r="B514" s="8" t="s">
        <v>34</v>
      </c>
      <c r="C514" s="6">
        <v>0.0</v>
      </c>
      <c r="D514" s="6">
        <v>0.0</v>
      </c>
      <c r="E514" s="6">
        <v>0.0</v>
      </c>
      <c r="F514" s="6">
        <v>0.0</v>
      </c>
      <c r="G514" s="6">
        <v>1.0</v>
      </c>
      <c r="H514" s="6">
        <v>1.0</v>
      </c>
      <c r="I514" s="6">
        <v>1.0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>
        <v>1.0</v>
      </c>
      <c r="P514" s="6">
        <v>2.0</v>
      </c>
      <c r="Q514" s="6">
        <v>2.0</v>
      </c>
      <c r="R514" s="6">
        <v>0.0</v>
      </c>
      <c r="T514" s="42">
        <f t="shared" si="198"/>
        <v>0</v>
      </c>
      <c r="U514" s="42">
        <f t="shared" si="199"/>
        <v>3</v>
      </c>
      <c r="V514" s="42">
        <f t="shared" si="200"/>
        <v>0</v>
      </c>
      <c r="W514" s="42">
        <f t="shared" si="201"/>
        <v>5</v>
      </c>
      <c r="X514" s="42">
        <f t="shared" si="202"/>
        <v>8</v>
      </c>
    </row>
    <row r="515">
      <c r="B515" s="8" t="s">
        <v>35</v>
      </c>
      <c r="C515" s="6">
        <v>0.0</v>
      </c>
      <c r="D515" s="6">
        <v>0.0</v>
      </c>
      <c r="E515" s="6">
        <v>0.0</v>
      </c>
      <c r="F515" s="6">
        <v>0.0</v>
      </c>
      <c r="G515" s="6">
        <v>2.0</v>
      </c>
      <c r="H515" s="6">
        <v>2.0</v>
      </c>
      <c r="I515" s="6">
        <v>0.0</v>
      </c>
      <c r="J515" s="6">
        <v>2.0</v>
      </c>
      <c r="K515" s="6">
        <v>1.0</v>
      </c>
      <c r="L515" s="6">
        <v>0.0</v>
      </c>
      <c r="M515" s="6">
        <v>0.0</v>
      </c>
      <c r="N515" s="6">
        <v>0.0</v>
      </c>
      <c r="O515" s="6">
        <v>2.0</v>
      </c>
      <c r="P515" s="6">
        <v>2.0</v>
      </c>
      <c r="Q515" s="6">
        <v>0.0</v>
      </c>
      <c r="R515" s="6">
        <v>0.0</v>
      </c>
      <c r="T515" s="42">
        <f t="shared" si="198"/>
        <v>0</v>
      </c>
      <c r="U515" s="42">
        <f t="shared" si="199"/>
        <v>6</v>
      </c>
      <c r="V515" s="42">
        <f t="shared" si="200"/>
        <v>1</v>
      </c>
      <c r="W515" s="42">
        <f t="shared" si="201"/>
        <v>4</v>
      </c>
      <c r="X515" s="42">
        <f t="shared" si="202"/>
        <v>11</v>
      </c>
    </row>
    <row r="516">
      <c r="B516" s="8" t="s">
        <v>36</v>
      </c>
      <c r="C516" s="6">
        <v>0.0</v>
      </c>
      <c r="D516" s="6">
        <v>0.0</v>
      </c>
      <c r="E516" s="6">
        <v>0.0</v>
      </c>
      <c r="F516" s="6">
        <v>0.0</v>
      </c>
      <c r="G516" s="6">
        <v>1.0</v>
      </c>
      <c r="H516" s="6">
        <v>1.0</v>
      </c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>
        <v>1.0</v>
      </c>
      <c r="P516" s="6">
        <v>0.0</v>
      </c>
      <c r="Q516" s="6">
        <v>0.0</v>
      </c>
      <c r="R516" s="6">
        <v>0.0</v>
      </c>
      <c r="T516" s="42">
        <f t="shared" si="198"/>
        <v>0</v>
      </c>
      <c r="U516" s="42">
        <f t="shared" si="199"/>
        <v>2</v>
      </c>
      <c r="V516" s="42">
        <f t="shared" si="200"/>
        <v>0</v>
      </c>
      <c r="W516" s="42">
        <f t="shared" si="201"/>
        <v>1</v>
      </c>
      <c r="X516" s="42">
        <f t="shared" si="202"/>
        <v>3</v>
      </c>
      <c r="CF516" s="4" t="s">
        <v>187</v>
      </c>
    </row>
    <row r="517">
      <c r="BQ517" s="4" t="s">
        <v>188</v>
      </c>
      <c r="CF517" s="4" t="s">
        <v>189</v>
      </c>
    </row>
    <row r="518">
      <c r="BQ518" s="4" t="s">
        <v>190</v>
      </c>
      <c r="CF518" s="4" t="s">
        <v>191</v>
      </c>
      <c r="DB518" s="4"/>
      <c r="DK518" s="4" t="s">
        <v>192</v>
      </c>
    </row>
    <row r="519">
      <c r="B519" s="2" t="s">
        <v>193</v>
      </c>
      <c r="C519" s="3">
        <v>1.0</v>
      </c>
      <c r="D519" s="3">
        <v>2.0</v>
      </c>
      <c r="E519" s="3">
        <v>3.0</v>
      </c>
      <c r="F519" s="3">
        <v>4.0</v>
      </c>
      <c r="G519" s="3">
        <v>5.0</v>
      </c>
      <c r="H519" s="3">
        <v>6.0</v>
      </c>
      <c r="I519" s="3">
        <v>7.0</v>
      </c>
      <c r="J519" s="3">
        <v>8.0</v>
      </c>
      <c r="K519" s="3">
        <v>9.0</v>
      </c>
      <c r="L519" s="3">
        <v>10.0</v>
      </c>
      <c r="M519" s="3">
        <v>11.0</v>
      </c>
      <c r="N519" s="3">
        <v>12.0</v>
      </c>
      <c r="O519" s="3">
        <v>13.0</v>
      </c>
      <c r="P519" s="3">
        <v>14.0</v>
      </c>
      <c r="Q519" s="3">
        <v>15.0</v>
      </c>
      <c r="R519" s="3">
        <v>16.0</v>
      </c>
      <c r="S519" s="3">
        <v>17.0</v>
      </c>
      <c r="T519" s="3">
        <v>18.0</v>
      </c>
      <c r="U519" s="3">
        <v>19.0</v>
      </c>
      <c r="V519" s="3">
        <v>20.0</v>
      </c>
      <c r="W519" s="3">
        <v>21.0</v>
      </c>
      <c r="X519" s="3">
        <v>22.0</v>
      </c>
      <c r="Y519" s="3">
        <v>23.0</v>
      </c>
      <c r="Z519" s="3">
        <v>24.0</v>
      </c>
      <c r="AA519" s="3">
        <v>25.0</v>
      </c>
      <c r="AB519" s="3">
        <v>26.0</v>
      </c>
      <c r="AC519" s="3">
        <v>27.0</v>
      </c>
      <c r="AD519" s="3">
        <v>28.0</v>
      </c>
      <c r="AE519" s="3">
        <v>29.0</v>
      </c>
      <c r="AF519" s="3">
        <v>30.0</v>
      </c>
      <c r="AH519" s="1" t="s">
        <v>194</v>
      </c>
      <c r="AI519" s="3">
        <v>1.0</v>
      </c>
      <c r="AJ519" s="3">
        <v>2.0</v>
      </c>
      <c r="AK519" s="3">
        <v>3.0</v>
      </c>
      <c r="AL519" s="3">
        <v>4.0</v>
      </c>
      <c r="AM519" s="3">
        <v>5.0</v>
      </c>
      <c r="AN519" s="3">
        <v>6.0</v>
      </c>
      <c r="AO519" s="3">
        <v>7.0</v>
      </c>
      <c r="AP519" s="3">
        <v>8.0</v>
      </c>
      <c r="AQ519" s="3">
        <v>9.0</v>
      </c>
      <c r="AR519" s="3">
        <v>10.0</v>
      </c>
      <c r="AS519" s="3">
        <v>11.0</v>
      </c>
      <c r="AT519" s="3">
        <v>12.0</v>
      </c>
      <c r="AU519" s="3">
        <v>13.0</v>
      </c>
      <c r="AV519" s="3">
        <v>14.0</v>
      </c>
      <c r="AX519" s="4">
        <v>120.0</v>
      </c>
      <c r="AZ519" s="1" t="s">
        <v>195</v>
      </c>
      <c r="BA519" s="3">
        <v>1.0</v>
      </c>
      <c r="BB519" s="3">
        <v>2.0</v>
      </c>
      <c r="BC519" s="3">
        <v>3.0</v>
      </c>
      <c r="BD519" s="3">
        <v>4.0</v>
      </c>
      <c r="BE519" s="3">
        <v>5.0</v>
      </c>
      <c r="BF519" s="3">
        <v>6.0</v>
      </c>
      <c r="BG519" s="3">
        <v>7.0</v>
      </c>
      <c r="BH519" s="3">
        <v>8.0</v>
      </c>
      <c r="BJ519" s="1" t="s">
        <v>196</v>
      </c>
      <c r="BK519" s="3">
        <v>1.0</v>
      </c>
      <c r="BL519" s="3">
        <v>2.0</v>
      </c>
      <c r="BM519" s="3">
        <v>3.0</v>
      </c>
      <c r="BN519" s="3">
        <v>4.0</v>
      </c>
      <c r="BO519" s="3">
        <v>5.0</v>
      </c>
      <c r="BQ519" s="1" t="s">
        <v>197</v>
      </c>
      <c r="BR519" s="1" t="s">
        <v>198</v>
      </c>
      <c r="BS519" s="1" t="s">
        <v>199</v>
      </c>
      <c r="BT519" s="1" t="s">
        <v>200</v>
      </c>
      <c r="BU519" s="1" t="s">
        <v>153</v>
      </c>
      <c r="BV519" s="10" t="s">
        <v>201</v>
      </c>
      <c r="BW519" s="10" t="s">
        <v>202</v>
      </c>
      <c r="BX519" s="10" t="s">
        <v>203</v>
      </c>
      <c r="BY519" s="10" t="s">
        <v>204</v>
      </c>
      <c r="BZ519" s="10" t="s">
        <v>205</v>
      </c>
      <c r="CA519" s="10" t="s">
        <v>206</v>
      </c>
      <c r="CB519" s="10" t="s">
        <v>207</v>
      </c>
      <c r="CC519" s="10" t="s">
        <v>208</v>
      </c>
      <c r="CF519" s="1" t="s">
        <v>197</v>
      </c>
      <c r="CG519" s="1" t="s">
        <v>198</v>
      </c>
      <c r="CH519" s="1" t="s">
        <v>199</v>
      </c>
      <c r="CI519" s="1" t="s">
        <v>200</v>
      </c>
      <c r="CJ519" s="1" t="s">
        <v>153</v>
      </c>
      <c r="CK519" s="10" t="s">
        <v>201</v>
      </c>
      <c r="CL519" s="10" t="s">
        <v>202</v>
      </c>
      <c r="CM519" s="10" t="s">
        <v>203</v>
      </c>
      <c r="CN519" s="10" t="s">
        <v>204</v>
      </c>
      <c r="CO519" s="10" t="s">
        <v>205</v>
      </c>
      <c r="CP519" s="10" t="s">
        <v>206</v>
      </c>
      <c r="CQ519" s="10" t="s">
        <v>207</v>
      </c>
      <c r="CR519" s="10" t="s">
        <v>208</v>
      </c>
      <c r="CU519" s="1" t="s">
        <v>197</v>
      </c>
      <c r="CV519" s="1" t="s">
        <v>198</v>
      </c>
      <c r="CW519" s="1" t="s">
        <v>199</v>
      </c>
      <c r="CX519" s="1" t="s">
        <v>200</v>
      </c>
      <c r="DB519" s="1" t="s">
        <v>197</v>
      </c>
      <c r="DC519" s="1" t="s">
        <v>198</v>
      </c>
      <c r="DD519" s="1" t="s">
        <v>199</v>
      </c>
      <c r="DE519" s="1" t="s">
        <v>200</v>
      </c>
      <c r="DF519" s="1" t="s">
        <v>153</v>
      </c>
      <c r="DG519" s="10" t="s">
        <v>201</v>
      </c>
      <c r="DH519" s="10" t="s">
        <v>202</v>
      </c>
      <c r="DI519" s="10" t="s">
        <v>203</v>
      </c>
      <c r="DJ519" s="10" t="s">
        <v>204</v>
      </c>
      <c r="DK519" s="10" t="s">
        <v>205</v>
      </c>
      <c r="DL519" s="10" t="s">
        <v>206</v>
      </c>
      <c r="DM519" s="10" t="s">
        <v>207</v>
      </c>
      <c r="DN519" s="10" t="s">
        <v>208</v>
      </c>
    </row>
    <row r="520">
      <c r="B520" s="5" t="s">
        <v>2</v>
      </c>
      <c r="C520" s="6">
        <v>4.0</v>
      </c>
      <c r="D520" s="6">
        <v>4.0</v>
      </c>
      <c r="E520" s="6">
        <v>5.0</v>
      </c>
      <c r="F520" s="6">
        <v>5.0</v>
      </c>
      <c r="G520" s="6">
        <v>4.0</v>
      </c>
      <c r="H520" s="6">
        <v>3.0</v>
      </c>
      <c r="I520" s="6">
        <v>3.0</v>
      </c>
      <c r="J520" s="6">
        <v>4.0</v>
      </c>
      <c r="K520" s="6">
        <v>4.0</v>
      </c>
      <c r="L520" s="6">
        <v>4.0</v>
      </c>
      <c r="M520" s="6">
        <v>3.0</v>
      </c>
      <c r="N520" s="6">
        <v>4.0</v>
      </c>
      <c r="O520" s="6">
        <v>3.0</v>
      </c>
      <c r="P520" s="6">
        <v>4.0</v>
      </c>
      <c r="Q520" s="6">
        <v>3.0</v>
      </c>
      <c r="R520" s="6">
        <v>4.0</v>
      </c>
      <c r="S520" s="6">
        <v>3.0</v>
      </c>
      <c r="T520" s="6">
        <v>4.0</v>
      </c>
      <c r="U520" s="6">
        <v>4.0</v>
      </c>
      <c r="V520" s="6">
        <v>5.0</v>
      </c>
      <c r="W520" s="6">
        <v>4.0</v>
      </c>
      <c r="X520" s="6">
        <v>4.0</v>
      </c>
      <c r="Y520" s="6">
        <v>3.0</v>
      </c>
      <c r="Z520" s="6">
        <v>4.0</v>
      </c>
      <c r="AA520" s="6">
        <v>3.0</v>
      </c>
      <c r="AB520" s="6">
        <v>4.0</v>
      </c>
      <c r="AC520" s="6">
        <v>0.0</v>
      </c>
      <c r="AD520" s="6">
        <v>4.0</v>
      </c>
      <c r="AE520" s="6">
        <v>5.0</v>
      </c>
      <c r="AF520" s="6">
        <v>4.0</v>
      </c>
      <c r="AI520" s="44">
        <v>118.0</v>
      </c>
      <c r="AJ520" s="45">
        <v>6.0</v>
      </c>
      <c r="AK520" s="44">
        <v>117.0</v>
      </c>
      <c r="AL520" s="44" t="s">
        <v>151</v>
      </c>
      <c r="AM520" s="44" t="s">
        <v>151</v>
      </c>
      <c r="AN520" s="44">
        <v>122.0</v>
      </c>
      <c r="AO520" s="44">
        <v>122.0</v>
      </c>
      <c r="AP520" s="45">
        <v>5.0</v>
      </c>
      <c r="AQ520" s="44">
        <v>0.0</v>
      </c>
      <c r="AR520" s="44">
        <v>0.0</v>
      </c>
      <c r="AS520" s="44" t="s">
        <v>151</v>
      </c>
      <c r="AT520" s="44" t="s">
        <v>151</v>
      </c>
      <c r="AU520" s="45" t="s">
        <v>151</v>
      </c>
      <c r="AV520" s="44" t="s">
        <v>151</v>
      </c>
      <c r="BA520" s="32">
        <v>5.0</v>
      </c>
      <c r="BB520" s="32">
        <v>5.0</v>
      </c>
      <c r="BC520" s="32">
        <v>5.0</v>
      </c>
      <c r="BD520" s="32">
        <v>5.0</v>
      </c>
      <c r="BE520" s="32">
        <v>4.0</v>
      </c>
      <c r="BF520" s="32">
        <v>6.0</v>
      </c>
      <c r="BG520" s="32">
        <v>6.0</v>
      </c>
      <c r="BH520" s="32">
        <v>5.0</v>
      </c>
      <c r="BK520" s="32">
        <v>4.0</v>
      </c>
      <c r="BL520" s="32">
        <v>4.0</v>
      </c>
      <c r="BM520" s="32">
        <v>4.0</v>
      </c>
      <c r="BN520" s="32">
        <v>4.0</v>
      </c>
      <c r="BO520" s="32">
        <v>4.0</v>
      </c>
      <c r="BQ520" s="46">
        <f t="shared" ref="BQ520:BQ554" si="204">AVERAGE(F520,G520,H520,K520,P520,Q520,R520,T520,V520,W520,Y520,Z520,AA520,AB520,AD520)</f>
        <v>3.866666667</v>
      </c>
      <c r="BR520" s="46">
        <f t="shared" ref="BR520:BR554" si="205">AVERAGE(D520,J520,N520,S520,AC520,AF520)</f>
        <v>3.166666667</v>
      </c>
      <c r="BS520" s="46">
        <f t="shared" ref="BS520:BS554" si="206">AVERAGE(C520,I520,M520,O520,U520,X520)</f>
        <v>3.5</v>
      </c>
      <c r="BT520" s="46">
        <f t="shared" ref="BT520:BT554" si="207">AVERAGE(E520,L520,AE520)</f>
        <v>4.666666667</v>
      </c>
      <c r="BU520" s="46">
        <f t="shared" ref="BU520:BU554" si="208">AVERAGE(C520:AF520)</f>
        <v>3.733333333</v>
      </c>
      <c r="BV520" s="47">
        <f t="shared" ref="BV520:BV554" si="209">AVERAGE(P520,R520,V520,AB520,AD520,G520)</f>
        <v>4.166666667</v>
      </c>
      <c r="BW520" s="47">
        <f t="shared" ref="BW520:BW554" si="210">AVERAGE(H520,T520,AA520)</f>
        <v>3.333333333</v>
      </c>
      <c r="BX520" s="47">
        <f t="shared" ref="BX520:BX554" si="211">AVERAGE(F520,K520,Y520)</f>
        <v>4</v>
      </c>
      <c r="BY520" s="47">
        <f t="shared" ref="BY520:BY554" si="212">AVERAGE(Q520,W520,Z520)</f>
        <v>3.666666667</v>
      </c>
      <c r="BZ520" s="48">
        <f t="shared" ref="BZ520:BZ554" si="213">(AI520*5)/120</f>
        <v>4.916666667</v>
      </c>
      <c r="CA520" s="47">
        <f t="shared" ref="CA520:CA554" si="214">AVERAGE(BA520:BH520)</f>
        <v>5.125</v>
      </c>
      <c r="CB520" s="47">
        <f t="shared" ref="CB520:CB554" si="215">AVERAGE(BK520:BO520)</f>
        <v>4</v>
      </c>
      <c r="CC520" s="47">
        <f t="shared" ref="CC520:CC554" si="216">AVERAGE(D520,AC520)</f>
        <v>2</v>
      </c>
      <c r="CF520" s="48">
        <v>3.8666666666666667</v>
      </c>
      <c r="CG520" s="48">
        <v>3.1666666666666665</v>
      </c>
      <c r="CH520" s="48">
        <v>3.5</v>
      </c>
      <c r="CI520" s="48">
        <v>4.666666666666667</v>
      </c>
      <c r="CJ520" s="48">
        <v>3.7333333333333334</v>
      </c>
      <c r="CK520" s="47">
        <v>4.166666666666667</v>
      </c>
      <c r="CL520" s="47">
        <v>3.3333333333333335</v>
      </c>
      <c r="CM520" s="47">
        <v>4.0</v>
      </c>
      <c r="CN520" s="47">
        <v>3.6666666666666665</v>
      </c>
      <c r="CO520" s="48">
        <v>4.916666666666667</v>
      </c>
      <c r="CP520" s="47">
        <f t="shared" ref="CP520:CQ520" si="203">(CA520*5)/6</f>
        <v>4.270833333</v>
      </c>
      <c r="CQ520" s="47">
        <f t="shared" si="203"/>
        <v>3.333333333</v>
      </c>
      <c r="CR520" s="47">
        <v>2.0</v>
      </c>
      <c r="CT520" s="11" t="s">
        <v>2</v>
      </c>
      <c r="CU520" s="49">
        <f t="shared" ref="CU520:CU554" si="218">(SUM(F520,G520,H520,K520,P520,Q520,R520,T520,V520,W520,Y520,Z520,AA520,AB520,AD520)*100)/75</f>
        <v>77.33333333</v>
      </c>
      <c r="CV520" s="49">
        <f t="shared" ref="CV520:CV554" si="219">(SUM(D520,J520,N520,S520,AC520,AF520)*100)/30</f>
        <v>63.33333333</v>
      </c>
      <c r="CW520" s="49">
        <f t="shared" ref="CW520:CW554" si="220">(SUM(C520,I520,M520,O520,U520,X520)*100)/30</f>
        <v>70</v>
      </c>
      <c r="CX520" s="49">
        <f t="shared" ref="CX520:CX554" si="221">(SUM(E520,L520,AE520)*100)/15</f>
        <v>93.33333333</v>
      </c>
      <c r="DB520">
        <f t="shared" ref="DB520:DB554" si="222">SUM(F520,G520,H520,K520,P520,Q520,R520,T520,V520,W520,Y520,Z520,AA520,AB520,AD520)</f>
        <v>58</v>
      </c>
      <c r="DC520">
        <f t="shared" ref="DC520:DC554" si="223">SUM(D520,J520,N520,S520,AC520,AF520)</f>
        <v>19</v>
      </c>
      <c r="DD520">
        <f t="shared" ref="DD520:DD554" si="224">SUM(C520,I520,M520,O520,U520,X520)</f>
        <v>21</v>
      </c>
      <c r="DE520">
        <f t="shared" ref="DE520:DE554" si="225">SUM(E520,L520,AE520)</f>
        <v>14</v>
      </c>
      <c r="DF520">
        <f t="shared" ref="DF520:DF554" si="226">SUM(C520:AF520)</f>
        <v>112</v>
      </c>
      <c r="DG520">
        <f t="shared" ref="DG520:DG554" si="227">SUM(P520,R520,V520,AB520,AD520,G520)</f>
        <v>25</v>
      </c>
      <c r="DH520">
        <f t="shared" ref="DH520:DH554" si="228">SUM(H520,T520,AA520)</f>
        <v>10</v>
      </c>
      <c r="DI520">
        <f t="shared" ref="DI520:DI554" si="229">sum(F520,K520,Y520)</f>
        <v>12</v>
      </c>
      <c r="DJ520">
        <f t="shared" ref="DJ520:DJ554" si="230">sum(Q520,W520,Z520)</f>
        <v>11</v>
      </c>
      <c r="DK520" s="50">
        <f t="shared" ref="DK520:DK554" si="231">AI520</f>
        <v>118</v>
      </c>
      <c r="DL520">
        <f t="shared" ref="DL520:DL554" si="232">sum(BA520:BH520)</f>
        <v>41</v>
      </c>
      <c r="DM520">
        <f t="shared" ref="DM520:DM554" si="233">sum(BK520:BO520)</f>
        <v>20</v>
      </c>
      <c r="DN520">
        <f t="shared" ref="DN520:DN554" si="234">SUM(D520,AC520)</f>
        <v>4</v>
      </c>
    </row>
    <row r="521">
      <c r="B521" s="5" t="s">
        <v>3</v>
      </c>
      <c r="C521" s="6">
        <v>3.0</v>
      </c>
      <c r="D521" s="6">
        <v>4.0</v>
      </c>
      <c r="E521" s="6">
        <v>4.0</v>
      </c>
      <c r="F521" s="6">
        <v>1.0</v>
      </c>
      <c r="G521" s="6">
        <v>2.0</v>
      </c>
      <c r="H521" s="6">
        <v>3.0</v>
      </c>
      <c r="I521" s="6">
        <v>4.0</v>
      </c>
      <c r="J521" s="6">
        <v>3.0</v>
      </c>
      <c r="K521" s="6">
        <v>1.0</v>
      </c>
      <c r="L521" s="6">
        <v>4.0</v>
      </c>
      <c r="M521" s="6">
        <v>3.0</v>
      </c>
      <c r="N521" s="6">
        <v>3.0</v>
      </c>
      <c r="O521" s="6">
        <v>1.0</v>
      </c>
      <c r="P521" s="6">
        <v>3.0</v>
      </c>
      <c r="Q521" s="6">
        <v>2.0</v>
      </c>
      <c r="R521" s="6">
        <v>3.0</v>
      </c>
      <c r="S521" s="6">
        <v>4.0</v>
      </c>
      <c r="T521" s="6">
        <v>3.0</v>
      </c>
      <c r="U521" s="6">
        <v>4.0</v>
      </c>
      <c r="V521" s="6">
        <v>3.0</v>
      </c>
      <c r="W521" s="6">
        <v>4.0</v>
      </c>
      <c r="X521" s="6">
        <v>3.0</v>
      </c>
      <c r="Y521" s="6">
        <v>1.0</v>
      </c>
      <c r="Z521" s="6">
        <v>2.0</v>
      </c>
      <c r="AA521" s="6">
        <v>1.0</v>
      </c>
      <c r="AB521" s="6">
        <v>3.0</v>
      </c>
      <c r="AC521" s="6">
        <v>0.0</v>
      </c>
      <c r="AD521" s="6">
        <v>3.0</v>
      </c>
      <c r="AE521" s="6">
        <v>5.0</v>
      </c>
      <c r="AF521" s="6">
        <v>4.0</v>
      </c>
      <c r="AI521" s="44">
        <v>19.0</v>
      </c>
      <c r="AJ521" s="51" t="s">
        <v>209</v>
      </c>
      <c r="AK521" s="44">
        <v>61.0</v>
      </c>
      <c r="AL521" s="44">
        <v>118.0</v>
      </c>
      <c r="AM521" s="44">
        <v>61.0</v>
      </c>
      <c r="AN521" s="44">
        <v>61.0</v>
      </c>
      <c r="AO521" s="44">
        <v>61.0</v>
      </c>
      <c r="AP521" s="51">
        <v>5.0</v>
      </c>
      <c r="AQ521" s="44">
        <v>61.0</v>
      </c>
      <c r="AR521" s="44">
        <v>61.0</v>
      </c>
      <c r="AS521" s="44">
        <v>61.0</v>
      </c>
      <c r="AT521" s="44">
        <v>61.0</v>
      </c>
      <c r="AU521" s="51" t="s">
        <v>151</v>
      </c>
      <c r="AV521" s="44">
        <v>61.0</v>
      </c>
      <c r="BA521" s="32">
        <v>4.0</v>
      </c>
      <c r="BB521" s="32">
        <v>5.0</v>
      </c>
      <c r="BC521" s="32">
        <v>5.0</v>
      </c>
      <c r="BD521" s="32">
        <v>5.0</v>
      </c>
      <c r="BE521" s="32">
        <v>3.0</v>
      </c>
      <c r="BF521" s="32">
        <v>6.0</v>
      </c>
      <c r="BG521" s="32">
        <v>5.0</v>
      </c>
      <c r="BH521" s="32">
        <v>3.0</v>
      </c>
      <c r="BK521" s="32">
        <v>2.0</v>
      </c>
      <c r="BL521" s="32">
        <v>2.0</v>
      </c>
      <c r="BM521" s="32">
        <v>2.0</v>
      </c>
      <c r="BN521" s="32">
        <v>3.0</v>
      </c>
      <c r="BO521" s="32">
        <v>3.0</v>
      </c>
      <c r="BQ521" s="46">
        <f t="shared" si="204"/>
        <v>2.333333333</v>
      </c>
      <c r="BR521" s="46">
        <f t="shared" si="205"/>
        <v>3</v>
      </c>
      <c r="BS521" s="46">
        <f t="shared" si="206"/>
        <v>3</v>
      </c>
      <c r="BT521" s="46">
        <f t="shared" si="207"/>
        <v>4.333333333</v>
      </c>
      <c r="BU521" s="46">
        <f t="shared" si="208"/>
        <v>2.8</v>
      </c>
      <c r="BV521" s="47">
        <f t="shared" si="209"/>
        <v>2.833333333</v>
      </c>
      <c r="BW521" s="47">
        <f t="shared" si="210"/>
        <v>2.333333333</v>
      </c>
      <c r="BX521" s="47">
        <f t="shared" si="211"/>
        <v>1</v>
      </c>
      <c r="BY521" s="47">
        <f t="shared" si="212"/>
        <v>2.666666667</v>
      </c>
      <c r="BZ521" s="48">
        <f t="shared" si="213"/>
        <v>0.7916666667</v>
      </c>
      <c r="CA521" s="47">
        <f t="shared" si="214"/>
        <v>4.5</v>
      </c>
      <c r="CB521" s="47">
        <f t="shared" si="215"/>
        <v>2.4</v>
      </c>
      <c r="CC521" s="47">
        <f t="shared" si="216"/>
        <v>2</v>
      </c>
      <c r="CF521" s="48">
        <v>2.3333333333333335</v>
      </c>
      <c r="CG521" s="48">
        <v>3.0</v>
      </c>
      <c r="CH521" s="48">
        <v>3.0</v>
      </c>
      <c r="CI521" s="48">
        <v>4.333333333333333</v>
      </c>
      <c r="CJ521" s="48">
        <v>2.8</v>
      </c>
      <c r="CK521" s="47">
        <v>2.8333333333333335</v>
      </c>
      <c r="CL521" s="47">
        <v>2.3333333333333335</v>
      </c>
      <c r="CM521" s="47">
        <v>1.0</v>
      </c>
      <c r="CN521" s="47">
        <v>2.6666666666666665</v>
      </c>
      <c r="CO521" s="48">
        <v>0.7916666666666666</v>
      </c>
      <c r="CP521" s="47">
        <f t="shared" ref="CP521:CQ521" si="217">(CA521*5)/6</f>
        <v>3.75</v>
      </c>
      <c r="CQ521" s="47">
        <f t="shared" si="217"/>
        <v>2</v>
      </c>
      <c r="CR521" s="47">
        <v>2.0</v>
      </c>
      <c r="CT521" s="5" t="s">
        <v>3</v>
      </c>
      <c r="CU521" s="24">
        <f t="shared" si="218"/>
        <v>46.66666667</v>
      </c>
      <c r="CV521" s="24">
        <f t="shared" si="219"/>
        <v>60</v>
      </c>
      <c r="CW521" s="24">
        <f t="shared" si="220"/>
        <v>60</v>
      </c>
      <c r="CX521" s="24">
        <f t="shared" si="221"/>
        <v>86.66666667</v>
      </c>
      <c r="DB521">
        <f t="shared" si="222"/>
        <v>35</v>
      </c>
      <c r="DC521">
        <f t="shared" si="223"/>
        <v>18</v>
      </c>
      <c r="DD521">
        <f t="shared" si="224"/>
        <v>18</v>
      </c>
      <c r="DE521">
        <f t="shared" si="225"/>
        <v>13</v>
      </c>
      <c r="DF521">
        <f t="shared" si="226"/>
        <v>84</v>
      </c>
      <c r="DG521">
        <f t="shared" si="227"/>
        <v>17</v>
      </c>
      <c r="DH521">
        <f t="shared" si="228"/>
        <v>7</v>
      </c>
      <c r="DI521">
        <f t="shared" si="229"/>
        <v>3</v>
      </c>
      <c r="DJ521">
        <f t="shared" si="230"/>
        <v>8</v>
      </c>
      <c r="DK521" s="50">
        <f t="shared" si="231"/>
        <v>19</v>
      </c>
      <c r="DL521">
        <f t="shared" si="232"/>
        <v>36</v>
      </c>
      <c r="DM521">
        <f t="shared" si="233"/>
        <v>12</v>
      </c>
      <c r="DN521">
        <f t="shared" si="234"/>
        <v>4</v>
      </c>
    </row>
    <row r="522">
      <c r="B522" s="5" t="s">
        <v>4</v>
      </c>
      <c r="C522" s="6">
        <v>3.0</v>
      </c>
      <c r="D522" s="6">
        <v>4.0</v>
      </c>
      <c r="E522" s="6">
        <v>5.0</v>
      </c>
      <c r="F522" s="6">
        <v>3.0</v>
      </c>
      <c r="G522" s="6">
        <v>2.0</v>
      </c>
      <c r="H522" s="6">
        <v>4.0</v>
      </c>
      <c r="I522" s="6">
        <v>3.0</v>
      </c>
      <c r="J522" s="6">
        <v>4.0</v>
      </c>
      <c r="K522" s="6">
        <v>3.0</v>
      </c>
      <c r="L522" s="6">
        <v>4.0</v>
      </c>
      <c r="M522" s="6">
        <v>2.0</v>
      </c>
      <c r="N522" s="6">
        <v>4.0</v>
      </c>
      <c r="O522" s="6">
        <v>2.0</v>
      </c>
      <c r="P522" s="6">
        <v>4.0</v>
      </c>
      <c r="Q522" s="6">
        <v>2.0</v>
      </c>
      <c r="R522" s="6">
        <v>4.0</v>
      </c>
      <c r="S522" s="6">
        <v>4.0</v>
      </c>
      <c r="T522" s="6">
        <v>4.0</v>
      </c>
      <c r="U522" s="6">
        <v>3.0</v>
      </c>
      <c r="V522" s="6">
        <v>3.0</v>
      </c>
      <c r="W522" s="6">
        <v>4.0</v>
      </c>
      <c r="X522" s="6">
        <v>2.0</v>
      </c>
      <c r="Y522" s="6">
        <v>0.0</v>
      </c>
      <c r="Z522" s="6">
        <v>1.0</v>
      </c>
      <c r="AA522" s="6">
        <v>0.0</v>
      </c>
      <c r="AB522" s="6">
        <v>2.0</v>
      </c>
      <c r="AC522" s="6">
        <v>0.0</v>
      </c>
      <c r="AD522" s="6">
        <v>2.0</v>
      </c>
      <c r="AE522" s="6">
        <v>5.0</v>
      </c>
      <c r="AF522" s="6">
        <v>4.0</v>
      </c>
      <c r="AI522" s="44">
        <v>96.0</v>
      </c>
      <c r="AJ522" s="51">
        <v>2.0</v>
      </c>
      <c r="AK522" s="44">
        <v>0.0</v>
      </c>
      <c r="AL522" s="44">
        <v>107.0</v>
      </c>
      <c r="AM522" s="44">
        <v>107.0</v>
      </c>
      <c r="AN522" s="44">
        <v>0.0</v>
      </c>
      <c r="AO522" s="44">
        <v>0.0</v>
      </c>
      <c r="AP522" s="51">
        <v>5.0</v>
      </c>
      <c r="AQ522" s="44">
        <v>0.0</v>
      </c>
      <c r="AR522" s="44">
        <v>0.0</v>
      </c>
      <c r="AS522" s="44">
        <v>0.0</v>
      </c>
      <c r="AT522" s="44">
        <v>0.0</v>
      </c>
      <c r="AU522" s="51">
        <v>5.0</v>
      </c>
      <c r="AV522" s="44">
        <v>0.0</v>
      </c>
      <c r="BA522" s="32">
        <v>5.0</v>
      </c>
      <c r="BB522" s="32">
        <v>4.0</v>
      </c>
      <c r="BC522" s="32">
        <v>5.0</v>
      </c>
      <c r="BD522" s="32">
        <v>3.0</v>
      </c>
      <c r="BE522" s="32">
        <v>3.0</v>
      </c>
      <c r="BF522" s="32">
        <v>5.0</v>
      </c>
      <c r="BG522" s="32">
        <v>3.0</v>
      </c>
      <c r="BH522" s="32">
        <v>3.0</v>
      </c>
      <c r="BK522" s="32">
        <v>3.0</v>
      </c>
      <c r="BL522" s="32">
        <v>3.0</v>
      </c>
      <c r="BM522" s="32">
        <v>4.0</v>
      </c>
      <c r="BN522" s="32">
        <v>3.0</v>
      </c>
      <c r="BO522" s="32">
        <v>1.0</v>
      </c>
      <c r="BQ522" s="46">
        <f t="shared" si="204"/>
        <v>2.533333333</v>
      </c>
      <c r="BR522" s="46">
        <f t="shared" si="205"/>
        <v>3.333333333</v>
      </c>
      <c r="BS522" s="46">
        <f t="shared" si="206"/>
        <v>2.5</v>
      </c>
      <c r="BT522" s="46">
        <f t="shared" si="207"/>
        <v>4.666666667</v>
      </c>
      <c r="BU522" s="46">
        <f t="shared" si="208"/>
        <v>2.9</v>
      </c>
      <c r="BV522" s="47">
        <f t="shared" si="209"/>
        <v>2.833333333</v>
      </c>
      <c r="BW522" s="47">
        <f t="shared" si="210"/>
        <v>2.666666667</v>
      </c>
      <c r="BX522" s="47">
        <f t="shared" si="211"/>
        <v>2</v>
      </c>
      <c r="BY522" s="47">
        <f t="shared" si="212"/>
        <v>2.333333333</v>
      </c>
      <c r="BZ522" s="48">
        <f t="shared" si="213"/>
        <v>4</v>
      </c>
      <c r="CA522" s="47">
        <f t="shared" si="214"/>
        <v>3.875</v>
      </c>
      <c r="CB522" s="47">
        <f t="shared" si="215"/>
        <v>2.8</v>
      </c>
      <c r="CC522" s="47">
        <f t="shared" si="216"/>
        <v>2</v>
      </c>
      <c r="CF522" s="48">
        <v>2.533333333333333</v>
      </c>
      <c r="CG522" s="48">
        <v>3.3333333333333335</v>
      </c>
      <c r="CH522" s="48">
        <v>2.5</v>
      </c>
      <c r="CI522" s="48">
        <v>4.666666666666667</v>
      </c>
      <c r="CJ522" s="48">
        <v>2.9</v>
      </c>
      <c r="CK522" s="47">
        <v>2.8333333333333335</v>
      </c>
      <c r="CL522" s="47">
        <v>2.6666666666666665</v>
      </c>
      <c r="CM522" s="47">
        <v>2.0</v>
      </c>
      <c r="CN522" s="47">
        <v>2.3333333333333335</v>
      </c>
      <c r="CO522" s="48">
        <v>4.0</v>
      </c>
      <c r="CP522" s="47">
        <f t="shared" ref="CP522:CQ522" si="235">(CA522*5)/6</f>
        <v>3.229166667</v>
      </c>
      <c r="CQ522" s="47">
        <f t="shared" si="235"/>
        <v>2.333333333</v>
      </c>
      <c r="CR522" s="47">
        <v>2.0</v>
      </c>
      <c r="CT522" s="5" t="s">
        <v>4</v>
      </c>
      <c r="CU522" s="24">
        <f t="shared" si="218"/>
        <v>50.66666667</v>
      </c>
      <c r="CV522" s="24">
        <f t="shared" si="219"/>
        <v>66.66666667</v>
      </c>
      <c r="CW522" s="24">
        <f t="shared" si="220"/>
        <v>50</v>
      </c>
      <c r="CX522" s="24">
        <f t="shared" si="221"/>
        <v>93.33333333</v>
      </c>
      <c r="DA522" s="15"/>
      <c r="DB522">
        <f t="shared" si="222"/>
        <v>38</v>
      </c>
      <c r="DC522">
        <f t="shared" si="223"/>
        <v>20</v>
      </c>
      <c r="DD522">
        <f t="shared" si="224"/>
        <v>15</v>
      </c>
      <c r="DE522">
        <f t="shared" si="225"/>
        <v>14</v>
      </c>
      <c r="DF522">
        <f t="shared" si="226"/>
        <v>87</v>
      </c>
      <c r="DG522">
        <f t="shared" si="227"/>
        <v>17</v>
      </c>
      <c r="DH522">
        <f t="shared" si="228"/>
        <v>8</v>
      </c>
      <c r="DI522">
        <f t="shared" si="229"/>
        <v>6</v>
      </c>
      <c r="DJ522">
        <f t="shared" si="230"/>
        <v>7</v>
      </c>
      <c r="DK522" s="50">
        <f t="shared" si="231"/>
        <v>96</v>
      </c>
      <c r="DL522">
        <f t="shared" si="232"/>
        <v>31</v>
      </c>
      <c r="DM522">
        <f t="shared" si="233"/>
        <v>14</v>
      </c>
      <c r="DN522">
        <f t="shared" si="234"/>
        <v>4</v>
      </c>
    </row>
    <row r="523">
      <c r="B523" s="5" t="s">
        <v>5</v>
      </c>
      <c r="C523" s="6">
        <v>5.0</v>
      </c>
      <c r="D523" s="6">
        <v>5.0</v>
      </c>
      <c r="E523" s="6">
        <v>5.0</v>
      </c>
      <c r="F523" s="6">
        <v>5.0</v>
      </c>
      <c r="G523" s="6">
        <v>5.0</v>
      </c>
      <c r="H523" s="6">
        <v>5.0</v>
      </c>
      <c r="I523" s="6">
        <v>5.0</v>
      </c>
      <c r="J523" s="6">
        <v>3.0</v>
      </c>
      <c r="K523" s="6">
        <v>5.0</v>
      </c>
      <c r="L523" s="6">
        <v>5.0</v>
      </c>
      <c r="M523" s="6">
        <v>4.0</v>
      </c>
      <c r="N523" s="6">
        <v>4.0</v>
      </c>
      <c r="O523" s="6">
        <v>5.0</v>
      </c>
      <c r="P523" s="6">
        <v>5.0</v>
      </c>
      <c r="Q523" s="6">
        <v>3.0</v>
      </c>
      <c r="R523" s="6">
        <v>5.0</v>
      </c>
      <c r="S523" s="6">
        <v>1.0</v>
      </c>
      <c r="T523" s="6">
        <v>5.0</v>
      </c>
      <c r="U523" s="6">
        <v>5.0</v>
      </c>
      <c r="V523" s="6">
        <v>4.0</v>
      </c>
      <c r="W523" s="6">
        <v>2.0</v>
      </c>
      <c r="X523" s="6">
        <v>5.0</v>
      </c>
      <c r="Y523" s="6">
        <v>4.0</v>
      </c>
      <c r="Z523" s="6">
        <v>4.0</v>
      </c>
      <c r="AA523" s="6">
        <v>4.0</v>
      </c>
      <c r="AB523" s="6">
        <v>4.0</v>
      </c>
      <c r="AC523" s="6">
        <v>1.0</v>
      </c>
      <c r="AD523" s="6">
        <v>4.0</v>
      </c>
      <c r="AE523" s="6">
        <v>5.0</v>
      </c>
      <c r="AF523" s="6">
        <v>3.0</v>
      </c>
      <c r="AI523" s="44">
        <v>109.0</v>
      </c>
      <c r="AJ523" s="51" t="s">
        <v>209</v>
      </c>
      <c r="AK523" s="44">
        <v>120.0</v>
      </c>
      <c r="AL523" s="44">
        <v>107.0</v>
      </c>
      <c r="AM523" s="44">
        <v>113.0</v>
      </c>
      <c r="AN523" s="44">
        <v>15.0</v>
      </c>
      <c r="AO523" s="44">
        <v>14.0</v>
      </c>
      <c r="AP523" s="51">
        <v>5.0</v>
      </c>
      <c r="AQ523" s="44">
        <v>13.0</v>
      </c>
      <c r="AR523" s="44">
        <v>2.0</v>
      </c>
      <c r="AS523" s="44">
        <v>3.0</v>
      </c>
      <c r="AT523" s="44">
        <v>3.0</v>
      </c>
      <c r="AU523" s="51" t="s">
        <v>151</v>
      </c>
      <c r="AV523" s="44">
        <v>0.0</v>
      </c>
      <c r="BA523" s="32">
        <v>4.0</v>
      </c>
      <c r="BB523" s="32">
        <v>1.0</v>
      </c>
      <c r="BC523" s="32">
        <v>0.0</v>
      </c>
      <c r="BD523" s="32">
        <v>1.0</v>
      </c>
      <c r="BE523" s="32">
        <v>1.0</v>
      </c>
      <c r="BF523" s="32">
        <v>6.0</v>
      </c>
      <c r="BG523" s="32">
        <v>3.0</v>
      </c>
      <c r="BH523" s="32">
        <v>5.0</v>
      </c>
      <c r="BK523" s="32">
        <v>6.0</v>
      </c>
      <c r="BL523" s="32">
        <v>4.0</v>
      </c>
      <c r="BM523" s="32">
        <v>4.0</v>
      </c>
      <c r="BN523" s="32">
        <v>3.0</v>
      </c>
      <c r="BO523" s="32">
        <v>6.0</v>
      </c>
      <c r="BQ523" s="46">
        <f t="shared" si="204"/>
        <v>4.266666667</v>
      </c>
      <c r="BR523" s="46">
        <f t="shared" si="205"/>
        <v>2.833333333</v>
      </c>
      <c r="BS523" s="46">
        <f t="shared" si="206"/>
        <v>4.833333333</v>
      </c>
      <c r="BT523" s="46">
        <f t="shared" si="207"/>
        <v>5</v>
      </c>
      <c r="BU523" s="46">
        <f t="shared" si="208"/>
        <v>4.166666667</v>
      </c>
      <c r="BV523" s="47">
        <f t="shared" si="209"/>
        <v>4.5</v>
      </c>
      <c r="BW523" s="47">
        <f t="shared" si="210"/>
        <v>4.666666667</v>
      </c>
      <c r="BX523" s="47">
        <f t="shared" si="211"/>
        <v>4.666666667</v>
      </c>
      <c r="BY523" s="47">
        <f t="shared" si="212"/>
        <v>3</v>
      </c>
      <c r="BZ523" s="48">
        <f t="shared" si="213"/>
        <v>4.541666667</v>
      </c>
      <c r="CA523" s="47">
        <f t="shared" si="214"/>
        <v>2.625</v>
      </c>
      <c r="CB523" s="47">
        <f t="shared" si="215"/>
        <v>4.6</v>
      </c>
      <c r="CC523" s="47">
        <f t="shared" si="216"/>
        <v>3</v>
      </c>
      <c r="CF523" s="48">
        <v>4.266666666666667</v>
      </c>
      <c r="CG523" s="48">
        <v>2.8333333333333335</v>
      </c>
      <c r="CH523" s="48">
        <v>4.833333333333333</v>
      </c>
      <c r="CI523" s="48">
        <v>5.0</v>
      </c>
      <c r="CJ523" s="48">
        <v>4.166666666666667</v>
      </c>
      <c r="CK523" s="47">
        <v>4.5</v>
      </c>
      <c r="CL523" s="47">
        <v>4.666666666666667</v>
      </c>
      <c r="CM523" s="47">
        <v>4.666666666666667</v>
      </c>
      <c r="CN523" s="47">
        <v>3.0</v>
      </c>
      <c r="CO523" s="48">
        <v>4.541666666666667</v>
      </c>
      <c r="CP523" s="47">
        <f t="shared" ref="CP523:CQ523" si="236">(CA523*5)/6</f>
        <v>2.1875</v>
      </c>
      <c r="CQ523" s="47">
        <f t="shared" si="236"/>
        <v>3.833333333</v>
      </c>
      <c r="CR523" s="47">
        <v>3.0</v>
      </c>
      <c r="CT523" s="11" t="s">
        <v>5</v>
      </c>
      <c r="CU523" s="49">
        <f t="shared" si="218"/>
        <v>85.33333333</v>
      </c>
      <c r="CV523" s="49">
        <f t="shared" si="219"/>
        <v>56.66666667</v>
      </c>
      <c r="CW523" s="49">
        <f t="shared" si="220"/>
        <v>96.66666667</v>
      </c>
      <c r="CX523" s="49">
        <f t="shared" si="221"/>
        <v>100</v>
      </c>
      <c r="DB523">
        <f t="shared" si="222"/>
        <v>64</v>
      </c>
      <c r="DC523">
        <f t="shared" si="223"/>
        <v>17</v>
      </c>
      <c r="DD523">
        <f t="shared" si="224"/>
        <v>29</v>
      </c>
      <c r="DE523">
        <f t="shared" si="225"/>
        <v>15</v>
      </c>
      <c r="DF523">
        <f t="shared" si="226"/>
        <v>125</v>
      </c>
      <c r="DG523">
        <f t="shared" si="227"/>
        <v>27</v>
      </c>
      <c r="DH523">
        <f t="shared" si="228"/>
        <v>14</v>
      </c>
      <c r="DI523">
        <f t="shared" si="229"/>
        <v>14</v>
      </c>
      <c r="DJ523">
        <f t="shared" si="230"/>
        <v>9</v>
      </c>
      <c r="DK523" s="50">
        <f t="shared" si="231"/>
        <v>109</v>
      </c>
      <c r="DL523">
        <f t="shared" si="232"/>
        <v>21</v>
      </c>
      <c r="DM523">
        <f t="shared" si="233"/>
        <v>23</v>
      </c>
      <c r="DN523">
        <f t="shared" si="234"/>
        <v>6</v>
      </c>
    </row>
    <row r="524">
      <c r="B524" s="5" t="s">
        <v>6</v>
      </c>
      <c r="C524" s="6">
        <v>5.0</v>
      </c>
      <c r="D524" s="6">
        <v>4.0</v>
      </c>
      <c r="E524" s="6">
        <v>5.0</v>
      </c>
      <c r="F524" s="6">
        <v>4.0</v>
      </c>
      <c r="G524" s="6">
        <v>4.0</v>
      </c>
      <c r="H524" s="6">
        <v>3.0</v>
      </c>
      <c r="I524" s="6">
        <v>4.0</v>
      </c>
      <c r="J524" s="6">
        <v>3.0</v>
      </c>
      <c r="K524" s="6">
        <v>1.0</v>
      </c>
      <c r="L524" s="6">
        <v>4.0</v>
      </c>
      <c r="M524" s="6">
        <v>4.0</v>
      </c>
      <c r="N524" s="6">
        <v>3.0</v>
      </c>
      <c r="O524" s="6">
        <v>4.0</v>
      </c>
      <c r="P524" s="6">
        <v>4.0</v>
      </c>
      <c r="Q524" s="6">
        <v>3.0</v>
      </c>
      <c r="R524" s="6">
        <v>3.0</v>
      </c>
      <c r="S524" s="6">
        <v>3.0</v>
      </c>
      <c r="T524" s="6">
        <v>4.0</v>
      </c>
      <c r="U524" s="6">
        <v>4.0</v>
      </c>
      <c r="V524" s="6">
        <v>4.0</v>
      </c>
      <c r="W524" s="6">
        <v>2.0</v>
      </c>
      <c r="X524" s="6">
        <v>4.0</v>
      </c>
      <c r="Y524" s="6">
        <v>2.0</v>
      </c>
      <c r="Z524" s="6">
        <v>3.0</v>
      </c>
      <c r="AA524" s="6">
        <v>4.0</v>
      </c>
      <c r="AB524" s="6">
        <v>4.0</v>
      </c>
      <c r="AC524" s="6">
        <v>3.0</v>
      </c>
      <c r="AD524" s="6">
        <v>3.0</v>
      </c>
      <c r="AE524" s="6">
        <v>4.0</v>
      </c>
      <c r="AF524" s="6">
        <v>3.0</v>
      </c>
      <c r="AI524" s="44">
        <v>84.0</v>
      </c>
      <c r="AJ524" s="51" t="s">
        <v>210</v>
      </c>
      <c r="AK524" s="44">
        <v>120.0</v>
      </c>
      <c r="AL524" s="44">
        <v>108.0</v>
      </c>
      <c r="AM524" s="44">
        <v>108.0</v>
      </c>
      <c r="AN524" s="44">
        <v>108.0</v>
      </c>
      <c r="AO524" s="44">
        <v>96.0</v>
      </c>
      <c r="AP524" s="51" t="s">
        <v>211</v>
      </c>
      <c r="AQ524" s="44">
        <v>108.0</v>
      </c>
      <c r="AR524" s="44">
        <v>96.0</v>
      </c>
      <c r="AS524" s="44">
        <v>84.0</v>
      </c>
      <c r="AT524" s="44">
        <v>84.0</v>
      </c>
      <c r="AU524" s="51">
        <v>6.0</v>
      </c>
      <c r="AV524" s="44">
        <v>0.0</v>
      </c>
      <c r="BA524" s="32">
        <v>5.0</v>
      </c>
      <c r="BB524" s="32">
        <v>5.0</v>
      </c>
      <c r="BC524" s="32">
        <v>4.0</v>
      </c>
      <c r="BD524" s="32">
        <v>5.0</v>
      </c>
      <c r="BE524" s="32">
        <v>4.0</v>
      </c>
      <c r="BF524" s="32">
        <v>6.0</v>
      </c>
      <c r="BG524" s="32">
        <v>5.0</v>
      </c>
      <c r="BH524" s="32">
        <v>5.0</v>
      </c>
      <c r="BK524" s="32">
        <v>3.0</v>
      </c>
      <c r="BL524" s="32">
        <v>3.0</v>
      </c>
      <c r="BM524" s="32">
        <v>5.0</v>
      </c>
      <c r="BN524" s="32">
        <v>3.0</v>
      </c>
      <c r="BO524" s="32">
        <v>3.0</v>
      </c>
      <c r="BQ524" s="46">
        <f t="shared" si="204"/>
        <v>3.2</v>
      </c>
      <c r="BR524" s="46">
        <f t="shared" si="205"/>
        <v>3.166666667</v>
      </c>
      <c r="BS524" s="46">
        <f t="shared" si="206"/>
        <v>4.166666667</v>
      </c>
      <c r="BT524" s="46">
        <f t="shared" si="207"/>
        <v>4.333333333</v>
      </c>
      <c r="BU524" s="46">
        <f t="shared" si="208"/>
        <v>3.5</v>
      </c>
      <c r="BV524" s="47">
        <f t="shared" si="209"/>
        <v>3.666666667</v>
      </c>
      <c r="BW524" s="47">
        <f t="shared" si="210"/>
        <v>3.666666667</v>
      </c>
      <c r="BX524" s="47">
        <f t="shared" si="211"/>
        <v>2.333333333</v>
      </c>
      <c r="BY524" s="47">
        <f t="shared" si="212"/>
        <v>2.666666667</v>
      </c>
      <c r="BZ524" s="48">
        <f t="shared" si="213"/>
        <v>3.5</v>
      </c>
      <c r="CA524" s="47">
        <f t="shared" si="214"/>
        <v>4.875</v>
      </c>
      <c r="CB524" s="47">
        <f t="shared" si="215"/>
        <v>3.4</v>
      </c>
      <c r="CC524" s="47">
        <f t="shared" si="216"/>
        <v>3.5</v>
      </c>
      <c r="CF524" s="48">
        <v>3.2</v>
      </c>
      <c r="CG524" s="48">
        <v>3.1666666666666665</v>
      </c>
      <c r="CH524" s="48">
        <v>4.166666666666667</v>
      </c>
      <c r="CI524" s="48">
        <v>4.333333333333333</v>
      </c>
      <c r="CJ524" s="48">
        <v>3.5</v>
      </c>
      <c r="CK524" s="47">
        <v>3.6666666666666665</v>
      </c>
      <c r="CL524" s="47">
        <v>3.6666666666666665</v>
      </c>
      <c r="CM524" s="47">
        <v>2.3333333333333335</v>
      </c>
      <c r="CN524" s="47">
        <v>2.6666666666666665</v>
      </c>
      <c r="CO524" s="48">
        <v>3.5</v>
      </c>
      <c r="CP524" s="47">
        <f t="shared" ref="CP524:CQ524" si="237">(CA524*5)/6</f>
        <v>4.0625</v>
      </c>
      <c r="CQ524" s="47">
        <f t="shared" si="237"/>
        <v>2.833333333</v>
      </c>
      <c r="CR524" s="47">
        <v>3.5</v>
      </c>
      <c r="CT524" s="11" t="s">
        <v>6</v>
      </c>
      <c r="CU524" s="49">
        <f t="shared" si="218"/>
        <v>64</v>
      </c>
      <c r="CV524" s="49">
        <f t="shared" si="219"/>
        <v>63.33333333</v>
      </c>
      <c r="CW524" s="49">
        <f t="shared" si="220"/>
        <v>83.33333333</v>
      </c>
      <c r="CX524" s="49">
        <f t="shared" si="221"/>
        <v>86.66666667</v>
      </c>
      <c r="DB524">
        <f t="shared" si="222"/>
        <v>48</v>
      </c>
      <c r="DC524">
        <f t="shared" si="223"/>
        <v>19</v>
      </c>
      <c r="DD524">
        <f t="shared" si="224"/>
        <v>25</v>
      </c>
      <c r="DE524">
        <f t="shared" si="225"/>
        <v>13</v>
      </c>
      <c r="DF524">
        <f t="shared" si="226"/>
        <v>105</v>
      </c>
      <c r="DG524">
        <f t="shared" si="227"/>
        <v>22</v>
      </c>
      <c r="DH524">
        <f t="shared" si="228"/>
        <v>11</v>
      </c>
      <c r="DI524">
        <f t="shared" si="229"/>
        <v>7</v>
      </c>
      <c r="DJ524">
        <f t="shared" si="230"/>
        <v>8</v>
      </c>
      <c r="DK524" s="50">
        <f t="shared" si="231"/>
        <v>84</v>
      </c>
      <c r="DL524">
        <f t="shared" si="232"/>
        <v>39</v>
      </c>
      <c r="DM524">
        <f t="shared" si="233"/>
        <v>17</v>
      </c>
      <c r="DN524">
        <f t="shared" si="234"/>
        <v>7</v>
      </c>
    </row>
    <row r="525">
      <c r="B525" s="5" t="s">
        <v>7</v>
      </c>
      <c r="C525" s="6">
        <v>1.0</v>
      </c>
      <c r="D525" s="6">
        <v>3.0</v>
      </c>
      <c r="E525" s="6">
        <v>4.0</v>
      </c>
      <c r="F525" s="6">
        <v>2.0</v>
      </c>
      <c r="G525" s="6">
        <v>4.0</v>
      </c>
      <c r="H525" s="6">
        <v>2.0</v>
      </c>
      <c r="I525" s="6">
        <v>3.0</v>
      </c>
      <c r="J525" s="6">
        <v>3.0</v>
      </c>
      <c r="K525" s="6">
        <v>1.0</v>
      </c>
      <c r="L525" s="6">
        <v>5.0</v>
      </c>
      <c r="M525" s="6">
        <v>3.0</v>
      </c>
      <c r="N525" s="6">
        <v>3.0</v>
      </c>
      <c r="O525" s="6">
        <v>4.0</v>
      </c>
      <c r="P525" s="6">
        <v>4.0</v>
      </c>
      <c r="Q525" s="6">
        <v>3.0</v>
      </c>
      <c r="R525" s="6">
        <v>2.0</v>
      </c>
      <c r="S525" s="6">
        <v>4.0</v>
      </c>
      <c r="T525" s="6">
        <v>2.0</v>
      </c>
      <c r="U525" s="6">
        <v>2.0</v>
      </c>
      <c r="V525" s="6">
        <v>4.0</v>
      </c>
      <c r="W525" s="6">
        <v>2.0</v>
      </c>
      <c r="X525" s="6">
        <v>3.0</v>
      </c>
      <c r="Y525" s="6">
        <v>1.0</v>
      </c>
      <c r="Z525" s="6">
        <v>3.0</v>
      </c>
      <c r="AA525" s="6">
        <v>2.0</v>
      </c>
      <c r="AB525" s="6">
        <v>3.0</v>
      </c>
      <c r="AC525" s="6">
        <v>4.0</v>
      </c>
      <c r="AD525" s="6">
        <v>2.0</v>
      </c>
      <c r="AE525" s="6">
        <v>4.0</v>
      </c>
      <c r="AF525" s="6">
        <v>2.0</v>
      </c>
      <c r="AI525" s="44">
        <v>115.0</v>
      </c>
      <c r="AJ525" s="51" t="s">
        <v>212</v>
      </c>
      <c r="AK525" s="44">
        <v>103.0</v>
      </c>
      <c r="AL525" s="44" t="s">
        <v>151</v>
      </c>
      <c r="AM525" s="44">
        <v>99.0</v>
      </c>
      <c r="AN525" s="44">
        <v>44.0</v>
      </c>
      <c r="AO525" s="44" t="s">
        <v>151</v>
      </c>
      <c r="AP525" s="51">
        <v>4.0</v>
      </c>
      <c r="AQ525" s="44">
        <v>0.0</v>
      </c>
      <c r="AR525" s="44" t="s">
        <v>151</v>
      </c>
      <c r="AS525" s="44" t="s">
        <v>151</v>
      </c>
      <c r="AT525" s="44">
        <v>105.0</v>
      </c>
      <c r="AU525" s="51" t="s">
        <v>213</v>
      </c>
      <c r="AV525" s="44"/>
      <c r="BA525" s="32">
        <v>0.0</v>
      </c>
      <c r="BB525" s="32">
        <v>5.0</v>
      </c>
      <c r="BC525" s="32">
        <v>5.0</v>
      </c>
      <c r="BD525" s="32">
        <v>6.0</v>
      </c>
      <c r="BE525" s="32">
        <v>3.0</v>
      </c>
      <c r="BF525" s="32">
        <v>1.0</v>
      </c>
      <c r="BG525" s="32">
        <v>5.0</v>
      </c>
      <c r="BH525" s="32">
        <v>3.0</v>
      </c>
      <c r="BK525" s="32">
        <v>3.0</v>
      </c>
      <c r="BL525" s="32">
        <v>3.0</v>
      </c>
      <c r="BM525" s="32">
        <v>2.0</v>
      </c>
      <c r="BN525" s="32">
        <v>3.0</v>
      </c>
      <c r="BO525" s="32">
        <v>0.0</v>
      </c>
      <c r="BQ525" s="46">
        <f t="shared" si="204"/>
        <v>2.466666667</v>
      </c>
      <c r="BR525" s="46">
        <f t="shared" si="205"/>
        <v>3.166666667</v>
      </c>
      <c r="BS525" s="46">
        <f t="shared" si="206"/>
        <v>2.666666667</v>
      </c>
      <c r="BT525" s="46">
        <f t="shared" si="207"/>
        <v>4.333333333</v>
      </c>
      <c r="BU525" s="46">
        <f t="shared" si="208"/>
        <v>2.833333333</v>
      </c>
      <c r="BV525" s="47">
        <f t="shared" si="209"/>
        <v>3.166666667</v>
      </c>
      <c r="BW525" s="47">
        <f t="shared" si="210"/>
        <v>2</v>
      </c>
      <c r="BX525" s="47">
        <f t="shared" si="211"/>
        <v>1.333333333</v>
      </c>
      <c r="BY525" s="47">
        <f t="shared" si="212"/>
        <v>2.666666667</v>
      </c>
      <c r="BZ525" s="48">
        <f t="shared" si="213"/>
        <v>4.791666667</v>
      </c>
      <c r="CA525" s="47">
        <f t="shared" si="214"/>
        <v>3.5</v>
      </c>
      <c r="CB525" s="47">
        <f t="shared" si="215"/>
        <v>2.2</v>
      </c>
      <c r="CC525" s="47">
        <f t="shared" si="216"/>
        <v>3.5</v>
      </c>
      <c r="CF525" s="48">
        <v>2.466666666666667</v>
      </c>
      <c r="CG525" s="48">
        <v>3.1666666666666665</v>
      </c>
      <c r="CH525" s="48">
        <v>2.6666666666666665</v>
      </c>
      <c r="CI525" s="48">
        <v>4.333333333333333</v>
      </c>
      <c r="CJ525" s="48">
        <v>2.8333333333333335</v>
      </c>
      <c r="CK525" s="47">
        <v>3.1666666666666665</v>
      </c>
      <c r="CL525" s="47">
        <v>2.0</v>
      </c>
      <c r="CM525" s="47">
        <v>1.3333333333333333</v>
      </c>
      <c r="CN525" s="47">
        <v>2.6666666666666665</v>
      </c>
      <c r="CO525" s="48">
        <v>4.791666666666667</v>
      </c>
      <c r="CP525" s="47">
        <f t="shared" ref="CP525:CQ525" si="238">(CA525*5)/6</f>
        <v>2.916666667</v>
      </c>
      <c r="CQ525" s="47">
        <f t="shared" si="238"/>
        <v>1.833333333</v>
      </c>
      <c r="CR525" s="47">
        <v>3.5</v>
      </c>
      <c r="CT525" s="5" t="s">
        <v>7</v>
      </c>
      <c r="CU525" s="24">
        <f t="shared" si="218"/>
        <v>49.33333333</v>
      </c>
      <c r="CV525" s="24">
        <f t="shared" si="219"/>
        <v>63.33333333</v>
      </c>
      <c r="CW525" s="24">
        <f t="shared" si="220"/>
        <v>53.33333333</v>
      </c>
      <c r="CX525" s="24">
        <f t="shared" si="221"/>
        <v>86.66666667</v>
      </c>
      <c r="DB525">
        <f t="shared" si="222"/>
        <v>37</v>
      </c>
      <c r="DC525">
        <f t="shared" si="223"/>
        <v>19</v>
      </c>
      <c r="DD525">
        <f t="shared" si="224"/>
        <v>16</v>
      </c>
      <c r="DE525">
        <f t="shared" si="225"/>
        <v>13</v>
      </c>
      <c r="DF525">
        <f t="shared" si="226"/>
        <v>85</v>
      </c>
      <c r="DG525">
        <f t="shared" si="227"/>
        <v>19</v>
      </c>
      <c r="DH525">
        <f t="shared" si="228"/>
        <v>6</v>
      </c>
      <c r="DI525">
        <f t="shared" si="229"/>
        <v>4</v>
      </c>
      <c r="DJ525">
        <f t="shared" si="230"/>
        <v>8</v>
      </c>
      <c r="DK525" s="50">
        <f t="shared" si="231"/>
        <v>115</v>
      </c>
      <c r="DL525">
        <f t="shared" si="232"/>
        <v>28</v>
      </c>
      <c r="DM525">
        <f t="shared" si="233"/>
        <v>11</v>
      </c>
      <c r="DN525">
        <f t="shared" si="234"/>
        <v>7</v>
      </c>
    </row>
    <row r="526">
      <c r="B526" s="5" t="s">
        <v>8</v>
      </c>
      <c r="C526" s="6">
        <v>4.0</v>
      </c>
      <c r="D526" s="6">
        <v>4.0</v>
      </c>
      <c r="E526" s="6">
        <v>4.0</v>
      </c>
      <c r="F526" s="6">
        <v>4.0</v>
      </c>
      <c r="G526" s="6">
        <v>4.0</v>
      </c>
      <c r="H526" s="6">
        <v>4.0</v>
      </c>
      <c r="I526" s="6">
        <v>4.0</v>
      </c>
      <c r="J526" s="6">
        <v>4.0</v>
      </c>
      <c r="K526" s="6">
        <v>3.0</v>
      </c>
      <c r="L526" s="6">
        <v>4.0</v>
      </c>
      <c r="M526" s="6">
        <v>4.0</v>
      </c>
      <c r="N526" s="6">
        <v>5.0</v>
      </c>
      <c r="O526" s="6">
        <v>4.0</v>
      </c>
      <c r="P526" s="6">
        <v>5.0</v>
      </c>
      <c r="Q526" s="6">
        <v>4.0</v>
      </c>
      <c r="R526" s="6">
        <v>4.0</v>
      </c>
      <c r="S526" s="6">
        <v>4.0</v>
      </c>
      <c r="T526" s="6">
        <v>5.0</v>
      </c>
      <c r="U526" s="6">
        <v>4.0</v>
      </c>
      <c r="V526" s="6">
        <v>4.0</v>
      </c>
      <c r="W526" s="6">
        <v>3.0</v>
      </c>
      <c r="X526" s="6">
        <v>4.0</v>
      </c>
      <c r="Y526" s="6">
        <v>3.0</v>
      </c>
      <c r="Z526" s="6">
        <v>4.0</v>
      </c>
      <c r="AA526" s="6">
        <v>4.0</v>
      </c>
      <c r="AB526" s="6">
        <v>5.0</v>
      </c>
      <c r="AC526" s="6">
        <v>0.0</v>
      </c>
      <c r="AD526" s="6">
        <v>4.0</v>
      </c>
      <c r="AE526" s="6">
        <v>3.0</v>
      </c>
      <c r="AF526" s="6">
        <v>5.0</v>
      </c>
      <c r="AI526" s="44">
        <v>96.0</v>
      </c>
      <c r="AJ526" s="51" t="s">
        <v>214</v>
      </c>
      <c r="AK526" s="44">
        <v>89.0</v>
      </c>
      <c r="AL526" s="44" t="s">
        <v>151</v>
      </c>
      <c r="AM526" s="44">
        <v>112.0</v>
      </c>
      <c r="AN526" s="44" t="s">
        <v>151</v>
      </c>
      <c r="AO526" s="44" t="s">
        <v>151</v>
      </c>
      <c r="AP526" s="51" t="s">
        <v>215</v>
      </c>
      <c r="AQ526" s="44" t="s">
        <v>151</v>
      </c>
      <c r="AR526" s="44" t="s">
        <v>151</v>
      </c>
      <c r="AS526" s="44" t="s">
        <v>151</v>
      </c>
      <c r="AT526" s="44" t="s">
        <v>151</v>
      </c>
      <c r="AU526" s="51" t="s">
        <v>151</v>
      </c>
      <c r="AV526" s="44" t="s">
        <v>151</v>
      </c>
      <c r="BA526" s="32">
        <v>2.0</v>
      </c>
      <c r="BB526" s="32">
        <v>4.0</v>
      </c>
      <c r="BC526" s="32">
        <v>5.0</v>
      </c>
      <c r="BD526" s="32">
        <v>4.0</v>
      </c>
      <c r="BE526" s="32">
        <v>2.0</v>
      </c>
      <c r="BF526" s="32">
        <v>4.0</v>
      </c>
      <c r="BG526" s="32">
        <v>5.0</v>
      </c>
      <c r="BH526" s="32">
        <v>3.0</v>
      </c>
      <c r="BK526" s="32">
        <v>1.0</v>
      </c>
      <c r="BL526" s="32">
        <v>1.0</v>
      </c>
      <c r="BM526" s="32">
        <v>5.0</v>
      </c>
      <c r="BN526" s="32">
        <v>4.0</v>
      </c>
      <c r="BO526" s="32">
        <v>3.0</v>
      </c>
      <c r="BQ526" s="46">
        <f t="shared" si="204"/>
        <v>4</v>
      </c>
      <c r="BR526" s="46">
        <f t="shared" si="205"/>
        <v>3.666666667</v>
      </c>
      <c r="BS526" s="46">
        <f t="shared" si="206"/>
        <v>4</v>
      </c>
      <c r="BT526" s="46">
        <f t="shared" si="207"/>
        <v>3.666666667</v>
      </c>
      <c r="BU526" s="46">
        <f t="shared" si="208"/>
        <v>3.9</v>
      </c>
      <c r="BV526" s="47">
        <f t="shared" si="209"/>
        <v>4.333333333</v>
      </c>
      <c r="BW526" s="47">
        <f t="shared" si="210"/>
        <v>4.333333333</v>
      </c>
      <c r="BX526" s="47">
        <f t="shared" si="211"/>
        <v>3.333333333</v>
      </c>
      <c r="BY526" s="47">
        <f t="shared" si="212"/>
        <v>3.666666667</v>
      </c>
      <c r="BZ526" s="48">
        <f t="shared" si="213"/>
        <v>4</v>
      </c>
      <c r="CA526" s="47">
        <f t="shared" si="214"/>
        <v>3.625</v>
      </c>
      <c r="CB526" s="47">
        <f t="shared" si="215"/>
        <v>2.8</v>
      </c>
      <c r="CC526" s="47">
        <f t="shared" si="216"/>
        <v>2</v>
      </c>
      <c r="CF526" s="48">
        <v>4.0</v>
      </c>
      <c r="CG526" s="48">
        <v>3.6666666666666665</v>
      </c>
      <c r="CH526" s="48">
        <v>4.0</v>
      </c>
      <c r="CI526" s="48">
        <v>3.6666666666666665</v>
      </c>
      <c r="CJ526" s="48">
        <v>3.9</v>
      </c>
      <c r="CK526" s="47">
        <v>4.333333333333333</v>
      </c>
      <c r="CL526" s="47">
        <v>4.333333333333333</v>
      </c>
      <c r="CM526" s="47">
        <v>3.3333333333333335</v>
      </c>
      <c r="CN526" s="47">
        <v>3.6666666666666665</v>
      </c>
      <c r="CO526" s="48">
        <v>4.0</v>
      </c>
      <c r="CP526" s="47">
        <f t="shared" ref="CP526:CQ526" si="239">(CA526*5)/6</f>
        <v>3.020833333</v>
      </c>
      <c r="CQ526" s="47">
        <f t="shared" si="239"/>
        <v>2.333333333</v>
      </c>
      <c r="CR526" s="47">
        <v>2.0</v>
      </c>
      <c r="CT526" s="11" t="s">
        <v>8</v>
      </c>
      <c r="CU526" s="49">
        <f t="shared" si="218"/>
        <v>80</v>
      </c>
      <c r="CV526" s="49">
        <f t="shared" si="219"/>
        <v>73.33333333</v>
      </c>
      <c r="CW526" s="49">
        <f t="shared" si="220"/>
        <v>80</v>
      </c>
      <c r="CX526" s="49">
        <f t="shared" si="221"/>
        <v>73.33333333</v>
      </c>
      <c r="DB526">
        <f t="shared" si="222"/>
        <v>60</v>
      </c>
      <c r="DC526">
        <f t="shared" si="223"/>
        <v>22</v>
      </c>
      <c r="DD526">
        <f t="shared" si="224"/>
        <v>24</v>
      </c>
      <c r="DE526">
        <f t="shared" si="225"/>
        <v>11</v>
      </c>
      <c r="DF526">
        <f t="shared" si="226"/>
        <v>117</v>
      </c>
      <c r="DG526">
        <f t="shared" si="227"/>
        <v>26</v>
      </c>
      <c r="DH526">
        <f t="shared" si="228"/>
        <v>13</v>
      </c>
      <c r="DI526">
        <f t="shared" si="229"/>
        <v>10</v>
      </c>
      <c r="DJ526">
        <f t="shared" si="230"/>
        <v>11</v>
      </c>
      <c r="DK526" s="50">
        <f t="shared" si="231"/>
        <v>96</v>
      </c>
      <c r="DL526">
        <f t="shared" si="232"/>
        <v>29</v>
      </c>
      <c r="DM526">
        <f t="shared" si="233"/>
        <v>14</v>
      </c>
      <c r="DN526">
        <f t="shared" si="234"/>
        <v>4</v>
      </c>
    </row>
    <row r="527">
      <c r="B527" s="5" t="s">
        <v>9</v>
      </c>
      <c r="C527" s="6">
        <v>4.0</v>
      </c>
      <c r="D527" s="6">
        <v>5.0</v>
      </c>
      <c r="E527" s="6">
        <v>4.0</v>
      </c>
      <c r="F527" s="6">
        <v>5.0</v>
      </c>
      <c r="G527" s="6">
        <v>5.0</v>
      </c>
      <c r="H527" s="6">
        <v>5.0</v>
      </c>
      <c r="I527" s="6">
        <v>5.0</v>
      </c>
      <c r="J527" s="6">
        <v>4.0</v>
      </c>
      <c r="K527" s="6">
        <v>5.0</v>
      </c>
      <c r="L527" s="6">
        <v>3.0</v>
      </c>
      <c r="M527" s="6">
        <v>5.0</v>
      </c>
      <c r="N527" s="6">
        <v>5.0</v>
      </c>
      <c r="O527" s="6">
        <v>5.0</v>
      </c>
      <c r="P527" s="6">
        <v>4.0</v>
      </c>
      <c r="Q527" s="6">
        <v>5.0</v>
      </c>
      <c r="R527" s="6">
        <v>5.0</v>
      </c>
      <c r="S527" s="6">
        <v>5.0</v>
      </c>
      <c r="T527" s="6">
        <v>5.0</v>
      </c>
      <c r="U527" s="6">
        <v>4.0</v>
      </c>
      <c r="V527" s="6">
        <v>5.0</v>
      </c>
      <c r="W527" s="6">
        <v>4.0</v>
      </c>
      <c r="X527" s="6">
        <v>4.0</v>
      </c>
      <c r="Y527" s="6">
        <v>3.0</v>
      </c>
      <c r="Z527" s="6">
        <v>4.0</v>
      </c>
      <c r="AA527" s="6">
        <v>5.0</v>
      </c>
      <c r="AB527" s="6">
        <v>5.0</v>
      </c>
      <c r="AC527" s="6">
        <v>0.0</v>
      </c>
      <c r="AD527" s="6">
        <v>5.0</v>
      </c>
      <c r="AE527" s="6">
        <v>5.0</v>
      </c>
      <c r="AF527" s="6">
        <v>4.0</v>
      </c>
      <c r="AI527" s="44">
        <v>118.0</v>
      </c>
      <c r="AJ527" s="51" t="s">
        <v>209</v>
      </c>
      <c r="AK527" s="44">
        <v>105.0</v>
      </c>
      <c r="AL527" s="44">
        <v>60.0</v>
      </c>
      <c r="AM527" s="44">
        <v>107.0</v>
      </c>
      <c r="AN527" s="44">
        <v>60.0</v>
      </c>
      <c r="AO527" s="44">
        <v>3.0</v>
      </c>
      <c r="AP527" s="51" t="s">
        <v>151</v>
      </c>
      <c r="AQ527" s="44">
        <v>2.0</v>
      </c>
      <c r="AR527" s="44">
        <v>1.0</v>
      </c>
      <c r="AS527" s="44">
        <v>0.0</v>
      </c>
      <c r="AT527" s="44">
        <v>1.0</v>
      </c>
      <c r="AU527" s="51" t="s">
        <v>151</v>
      </c>
      <c r="AV527" s="44">
        <v>2.0</v>
      </c>
      <c r="BA527" s="32">
        <v>1.0</v>
      </c>
      <c r="BB527" s="32">
        <v>5.0</v>
      </c>
      <c r="BC527" s="32">
        <v>6.0</v>
      </c>
      <c r="BD527" s="32">
        <v>5.0</v>
      </c>
      <c r="BE527" s="32">
        <v>1.0</v>
      </c>
      <c r="BF527" s="32">
        <v>6.0</v>
      </c>
      <c r="BG527" s="32">
        <v>6.0</v>
      </c>
      <c r="BH527" s="32">
        <v>5.0</v>
      </c>
      <c r="BK527" s="32">
        <v>6.0</v>
      </c>
      <c r="BL527" s="32">
        <v>0.0</v>
      </c>
      <c r="BM527" s="32">
        <v>6.0</v>
      </c>
      <c r="BN527" s="32">
        <v>3.0</v>
      </c>
      <c r="BO527" s="32">
        <v>2.0</v>
      </c>
      <c r="BQ527" s="46">
        <f t="shared" si="204"/>
        <v>4.666666667</v>
      </c>
      <c r="BR527" s="46">
        <f t="shared" si="205"/>
        <v>3.833333333</v>
      </c>
      <c r="BS527" s="46">
        <f t="shared" si="206"/>
        <v>4.5</v>
      </c>
      <c r="BT527" s="46">
        <f t="shared" si="207"/>
        <v>4</v>
      </c>
      <c r="BU527" s="46">
        <f t="shared" si="208"/>
        <v>4.4</v>
      </c>
      <c r="BV527" s="47">
        <f t="shared" si="209"/>
        <v>4.833333333</v>
      </c>
      <c r="BW527" s="47">
        <f t="shared" si="210"/>
        <v>5</v>
      </c>
      <c r="BX527" s="47">
        <f t="shared" si="211"/>
        <v>4.333333333</v>
      </c>
      <c r="BY527" s="47">
        <f t="shared" si="212"/>
        <v>4.333333333</v>
      </c>
      <c r="BZ527" s="48">
        <f t="shared" si="213"/>
        <v>4.916666667</v>
      </c>
      <c r="CA527" s="47">
        <f t="shared" si="214"/>
        <v>4.375</v>
      </c>
      <c r="CB527" s="47">
        <f t="shared" si="215"/>
        <v>3.4</v>
      </c>
      <c r="CC527" s="47">
        <f t="shared" si="216"/>
        <v>2.5</v>
      </c>
      <c r="CF527" s="48">
        <v>4.666666666666667</v>
      </c>
      <c r="CG527" s="48">
        <v>3.8333333333333335</v>
      </c>
      <c r="CH527" s="48">
        <v>4.5</v>
      </c>
      <c r="CI527" s="48">
        <v>4.0</v>
      </c>
      <c r="CJ527" s="48">
        <v>4.4</v>
      </c>
      <c r="CK527" s="47">
        <v>4.833333333333333</v>
      </c>
      <c r="CL527" s="47">
        <v>5.0</v>
      </c>
      <c r="CM527" s="47">
        <v>4.333333333333333</v>
      </c>
      <c r="CN527" s="47">
        <v>4.333333333333333</v>
      </c>
      <c r="CO527" s="48">
        <v>4.916666666666667</v>
      </c>
      <c r="CP527" s="47">
        <f t="shared" ref="CP527:CQ527" si="240">(CA527*5)/6</f>
        <v>3.645833333</v>
      </c>
      <c r="CQ527" s="47">
        <f t="shared" si="240"/>
        <v>2.833333333</v>
      </c>
      <c r="CR527" s="47">
        <v>2.5</v>
      </c>
      <c r="CT527" s="11" t="s">
        <v>9</v>
      </c>
      <c r="CU527" s="49">
        <f t="shared" si="218"/>
        <v>93.33333333</v>
      </c>
      <c r="CV527" s="49">
        <f t="shared" si="219"/>
        <v>76.66666667</v>
      </c>
      <c r="CW527" s="49">
        <f t="shared" si="220"/>
        <v>90</v>
      </c>
      <c r="CX527" s="49">
        <f t="shared" si="221"/>
        <v>80</v>
      </c>
      <c r="DB527">
        <f t="shared" si="222"/>
        <v>70</v>
      </c>
      <c r="DC527">
        <f t="shared" si="223"/>
        <v>23</v>
      </c>
      <c r="DD527">
        <f t="shared" si="224"/>
        <v>27</v>
      </c>
      <c r="DE527">
        <f t="shared" si="225"/>
        <v>12</v>
      </c>
      <c r="DF527">
        <f t="shared" si="226"/>
        <v>132</v>
      </c>
      <c r="DG527">
        <f t="shared" si="227"/>
        <v>29</v>
      </c>
      <c r="DH527">
        <f t="shared" si="228"/>
        <v>15</v>
      </c>
      <c r="DI527">
        <f t="shared" si="229"/>
        <v>13</v>
      </c>
      <c r="DJ527">
        <f t="shared" si="230"/>
        <v>13</v>
      </c>
      <c r="DK527" s="50">
        <f t="shared" si="231"/>
        <v>118</v>
      </c>
      <c r="DL527">
        <f t="shared" si="232"/>
        <v>35</v>
      </c>
      <c r="DM527">
        <f t="shared" si="233"/>
        <v>17</v>
      </c>
      <c r="DN527">
        <f t="shared" si="234"/>
        <v>5</v>
      </c>
    </row>
    <row r="528">
      <c r="B528" s="5" t="s">
        <v>10</v>
      </c>
      <c r="C528" s="6">
        <v>4.0</v>
      </c>
      <c r="D528" s="6">
        <v>4.0</v>
      </c>
      <c r="E528" s="6">
        <v>3.0</v>
      </c>
      <c r="F528" s="6">
        <v>0.0</v>
      </c>
      <c r="G528" s="6">
        <v>0.0</v>
      </c>
      <c r="H528" s="6">
        <v>0.0</v>
      </c>
      <c r="I528" s="6">
        <v>0.0</v>
      </c>
      <c r="J528" s="6">
        <v>0.0</v>
      </c>
      <c r="K528" s="6">
        <v>0.0</v>
      </c>
      <c r="L528" s="6">
        <v>3.0</v>
      </c>
      <c r="M528" s="6">
        <v>2.0</v>
      </c>
      <c r="N528" s="6">
        <v>0.0</v>
      </c>
      <c r="O528" s="6">
        <v>1.0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  <c r="U528" s="6">
        <v>0.0</v>
      </c>
      <c r="V528" s="6">
        <v>0.0</v>
      </c>
      <c r="W528" s="6">
        <v>0.0</v>
      </c>
      <c r="X528" s="6">
        <v>4.0</v>
      </c>
      <c r="Y528" s="6">
        <v>0.0</v>
      </c>
      <c r="Z528" s="6">
        <v>0.0</v>
      </c>
      <c r="AA528" s="6">
        <v>0.0</v>
      </c>
      <c r="AB528" s="6">
        <v>0.0</v>
      </c>
      <c r="AC528" s="6">
        <v>0.0</v>
      </c>
      <c r="AD528" s="6">
        <v>0.0</v>
      </c>
      <c r="AE528" s="6">
        <v>5.0</v>
      </c>
      <c r="AF528" s="6">
        <v>1.0</v>
      </c>
      <c r="AI528" s="44">
        <v>66.0</v>
      </c>
      <c r="AJ528" s="51" t="s">
        <v>216</v>
      </c>
      <c r="AK528" s="52" t="s">
        <v>151</v>
      </c>
      <c r="AL528" s="52" t="s">
        <v>151</v>
      </c>
      <c r="AM528" s="52" t="s">
        <v>151</v>
      </c>
      <c r="AN528" s="52" t="s">
        <v>151</v>
      </c>
      <c r="AO528" s="44">
        <v>5.0</v>
      </c>
      <c r="AP528" s="51" t="s">
        <v>151</v>
      </c>
      <c r="AQ528" s="52" t="s">
        <v>151</v>
      </c>
      <c r="AR528" s="52" t="s">
        <v>151</v>
      </c>
      <c r="AS528" s="52" t="s">
        <v>151</v>
      </c>
      <c r="AT528" s="52" t="s">
        <v>151</v>
      </c>
      <c r="AU528" s="51" t="s">
        <v>217</v>
      </c>
      <c r="AV528" s="52" t="s">
        <v>151</v>
      </c>
      <c r="BA528" s="32">
        <v>1.0</v>
      </c>
      <c r="BB528" s="32">
        <v>1.0</v>
      </c>
      <c r="BC528" s="32">
        <v>1.0</v>
      </c>
      <c r="BD528" s="32">
        <v>1.0</v>
      </c>
      <c r="BE528" s="32">
        <v>1.0</v>
      </c>
      <c r="BF528" s="32">
        <v>1.0</v>
      </c>
      <c r="BG528" s="32">
        <v>3.0</v>
      </c>
      <c r="BH528" s="32">
        <v>1.0</v>
      </c>
      <c r="BK528" s="32">
        <v>0.0</v>
      </c>
      <c r="BL528" s="32">
        <v>1.0</v>
      </c>
      <c r="BM528" s="32">
        <v>0.0</v>
      </c>
      <c r="BN528" s="32">
        <v>1.0</v>
      </c>
      <c r="BO528" s="32">
        <v>0.0</v>
      </c>
      <c r="BQ528" s="46">
        <f t="shared" si="204"/>
        <v>0</v>
      </c>
      <c r="BR528" s="46">
        <f t="shared" si="205"/>
        <v>0.8333333333</v>
      </c>
      <c r="BS528" s="46">
        <f t="shared" si="206"/>
        <v>1.833333333</v>
      </c>
      <c r="BT528" s="46">
        <f t="shared" si="207"/>
        <v>3.666666667</v>
      </c>
      <c r="BU528" s="46">
        <f t="shared" si="208"/>
        <v>0.9</v>
      </c>
      <c r="BV528" s="47">
        <f t="shared" si="209"/>
        <v>0</v>
      </c>
      <c r="BW528" s="47">
        <f t="shared" si="210"/>
        <v>0</v>
      </c>
      <c r="BX528" s="47">
        <f t="shared" si="211"/>
        <v>0</v>
      </c>
      <c r="BY528" s="47">
        <f t="shared" si="212"/>
        <v>0</v>
      </c>
      <c r="BZ528" s="48">
        <f t="shared" si="213"/>
        <v>2.75</v>
      </c>
      <c r="CA528" s="47">
        <f t="shared" si="214"/>
        <v>1.25</v>
      </c>
      <c r="CB528" s="47">
        <f t="shared" si="215"/>
        <v>0.4</v>
      </c>
      <c r="CC528" s="47">
        <f t="shared" si="216"/>
        <v>2</v>
      </c>
      <c r="CF528" s="48">
        <v>0.0</v>
      </c>
      <c r="CG528" s="48">
        <v>0.8333333333333334</v>
      </c>
      <c r="CH528" s="48">
        <v>1.8333333333333333</v>
      </c>
      <c r="CI528" s="48">
        <v>3.6666666666666665</v>
      </c>
      <c r="CJ528" s="48">
        <v>0.9</v>
      </c>
      <c r="CK528" s="47">
        <v>0.0</v>
      </c>
      <c r="CL528" s="47">
        <v>0.0</v>
      </c>
      <c r="CM528" s="47">
        <v>0.0</v>
      </c>
      <c r="CN528" s="47">
        <v>0.0</v>
      </c>
      <c r="CO528" s="48">
        <v>2.75</v>
      </c>
      <c r="CP528" s="47">
        <f t="shared" ref="CP528:CQ528" si="241">(CA528*5)/6</f>
        <v>1.041666667</v>
      </c>
      <c r="CQ528" s="47">
        <f t="shared" si="241"/>
        <v>0.3333333333</v>
      </c>
      <c r="CR528" s="47">
        <v>2.0</v>
      </c>
      <c r="CT528" s="5" t="s">
        <v>10</v>
      </c>
      <c r="CU528" s="24">
        <f t="shared" si="218"/>
        <v>0</v>
      </c>
      <c r="CV528" s="24">
        <f t="shared" si="219"/>
        <v>16.66666667</v>
      </c>
      <c r="CW528" s="24">
        <f t="shared" si="220"/>
        <v>36.66666667</v>
      </c>
      <c r="CX528" s="24">
        <f t="shared" si="221"/>
        <v>73.33333333</v>
      </c>
      <c r="DB528">
        <f t="shared" si="222"/>
        <v>0</v>
      </c>
      <c r="DC528">
        <f t="shared" si="223"/>
        <v>5</v>
      </c>
      <c r="DD528">
        <f t="shared" si="224"/>
        <v>11</v>
      </c>
      <c r="DE528">
        <f t="shared" si="225"/>
        <v>11</v>
      </c>
      <c r="DF528">
        <f t="shared" si="226"/>
        <v>27</v>
      </c>
      <c r="DG528">
        <f t="shared" si="227"/>
        <v>0</v>
      </c>
      <c r="DH528">
        <f t="shared" si="228"/>
        <v>0</v>
      </c>
      <c r="DI528">
        <f t="shared" si="229"/>
        <v>0</v>
      </c>
      <c r="DJ528">
        <f t="shared" si="230"/>
        <v>0</v>
      </c>
      <c r="DK528" s="50">
        <f t="shared" si="231"/>
        <v>66</v>
      </c>
      <c r="DL528">
        <f t="shared" si="232"/>
        <v>10</v>
      </c>
      <c r="DM528">
        <f t="shared" si="233"/>
        <v>2</v>
      </c>
      <c r="DN528">
        <f t="shared" si="234"/>
        <v>4</v>
      </c>
    </row>
    <row r="529">
      <c r="B529" s="5" t="s">
        <v>11</v>
      </c>
      <c r="C529" s="6">
        <v>5.0</v>
      </c>
      <c r="D529" s="6">
        <v>4.0</v>
      </c>
      <c r="E529" s="6">
        <v>2.0</v>
      </c>
      <c r="F529" s="6">
        <v>3.0</v>
      </c>
      <c r="G529" s="6">
        <v>2.0</v>
      </c>
      <c r="H529" s="6">
        <v>3.0</v>
      </c>
      <c r="I529" s="6">
        <v>3.0</v>
      </c>
      <c r="J529" s="6">
        <v>4.0</v>
      </c>
      <c r="K529" s="6">
        <v>0.0</v>
      </c>
      <c r="L529" s="6">
        <v>2.0</v>
      </c>
      <c r="M529" s="6">
        <v>4.0</v>
      </c>
      <c r="N529" s="6">
        <v>3.0</v>
      </c>
      <c r="O529" s="6">
        <v>4.0</v>
      </c>
      <c r="P529" s="6">
        <v>4.0</v>
      </c>
      <c r="Q529" s="6">
        <v>0.0</v>
      </c>
      <c r="R529" s="6">
        <v>4.0</v>
      </c>
      <c r="S529" s="6">
        <v>4.0</v>
      </c>
      <c r="T529" s="6">
        <v>4.0</v>
      </c>
      <c r="U529" s="6">
        <v>4.0</v>
      </c>
      <c r="V529" s="6">
        <v>3.0</v>
      </c>
      <c r="W529" s="6">
        <v>0.0</v>
      </c>
      <c r="X529" s="6">
        <v>4.0</v>
      </c>
      <c r="Y529" s="6">
        <v>4.0</v>
      </c>
      <c r="Z529" s="6">
        <v>1.0</v>
      </c>
      <c r="AA529" s="6">
        <v>1.0</v>
      </c>
      <c r="AB529" s="6">
        <v>4.0</v>
      </c>
      <c r="AC529" s="6">
        <v>0.0</v>
      </c>
      <c r="AD529" s="6">
        <v>4.0</v>
      </c>
      <c r="AE529" s="6">
        <v>2.0</v>
      </c>
      <c r="AF529" s="6">
        <v>4.0</v>
      </c>
      <c r="AI529" s="44">
        <v>86.0</v>
      </c>
      <c r="AJ529" s="51" t="s">
        <v>216</v>
      </c>
      <c r="AK529" s="44" t="s">
        <v>151</v>
      </c>
      <c r="AL529" s="44" t="s">
        <v>151</v>
      </c>
      <c r="AM529" s="44">
        <v>83.0</v>
      </c>
      <c r="AN529" s="44">
        <v>14.0</v>
      </c>
      <c r="AO529" s="44">
        <v>5.0</v>
      </c>
      <c r="AP529" s="51" t="s">
        <v>151</v>
      </c>
      <c r="AQ529" s="44" t="s">
        <v>151</v>
      </c>
      <c r="AR529" s="44" t="s">
        <v>151</v>
      </c>
      <c r="AS529" s="44" t="s">
        <v>151</v>
      </c>
      <c r="AT529" s="44" t="s">
        <v>151</v>
      </c>
      <c r="AU529" s="51" t="s">
        <v>151</v>
      </c>
      <c r="AV529" s="44" t="s">
        <v>151</v>
      </c>
      <c r="BA529" s="32">
        <v>0.0</v>
      </c>
      <c r="BB529" s="32">
        <v>1.0</v>
      </c>
      <c r="BC529" s="32">
        <v>4.0</v>
      </c>
      <c r="BD529" s="32">
        <v>1.0</v>
      </c>
      <c r="BE529" s="32">
        <v>1.0</v>
      </c>
      <c r="BF529" s="32">
        <v>3.0</v>
      </c>
      <c r="BG529" s="32">
        <v>5.0</v>
      </c>
      <c r="BH529" s="32">
        <v>3.0</v>
      </c>
      <c r="BK529" s="32">
        <v>5.0</v>
      </c>
      <c r="BL529" s="32">
        <v>2.0</v>
      </c>
      <c r="BM529" s="32">
        <v>2.0</v>
      </c>
      <c r="BN529" s="32">
        <v>1.0</v>
      </c>
      <c r="BO529" s="32">
        <v>4.0</v>
      </c>
      <c r="BQ529" s="46">
        <f t="shared" si="204"/>
        <v>2.466666667</v>
      </c>
      <c r="BR529" s="46">
        <f t="shared" si="205"/>
        <v>3.166666667</v>
      </c>
      <c r="BS529" s="46">
        <f t="shared" si="206"/>
        <v>4</v>
      </c>
      <c r="BT529" s="46">
        <f t="shared" si="207"/>
        <v>2</v>
      </c>
      <c r="BU529" s="46">
        <f t="shared" si="208"/>
        <v>2.866666667</v>
      </c>
      <c r="BV529" s="47">
        <f t="shared" si="209"/>
        <v>3.5</v>
      </c>
      <c r="BW529" s="47">
        <f t="shared" si="210"/>
        <v>2.666666667</v>
      </c>
      <c r="BX529" s="47">
        <f t="shared" si="211"/>
        <v>2.333333333</v>
      </c>
      <c r="BY529" s="47">
        <f t="shared" si="212"/>
        <v>0.3333333333</v>
      </c>
      <c r="BZ529" s="48">
        <f t="shared" si="213"/>
        <v>3.583333333</v>
      </c>
      <c r="CA529" s="47">
        <f t="shared" si="214"/>
        <v>2.25</v>
      </c>
      <c r="CB529" s="47">
        <f t="shared" si="215"/>
        <v>2.8</v>
      </c>
      <c r="CC529" s="47">
        <f t="shared" si="216"/>
        <v>2</v>
      </c>
      <c r="CF529" s="48">
        <v>2.466666666666667</v>
      </c>
      <c r="CG529" s="48">
        <v>3.1666666666666665</v>
      </c>
      <c r="CH529" s="48">
        <v>4.0</v>
      </c>
      <c r="CI529" s="48">
        <v>2.0</v>
      </c>
      <c r="CJ529" s="48">
        <v>2.8666666666666667</v>
      </c>
      <c r="CK529" s="47">
        <v>3.5</v>
      </c>
      <c r="CL529" s="47">
        <v>2.6666666666666665</v>
      </c>
      <c r="CM529" s="47">
        <v>2.3333333333333335</v>
      </c>
      <c r="CN529" s="47">
        <v>0.3333333333333333</v>
      </c>
      <c r="CO529" s="48">
        <v>3.5833333333333335</v>
      </c>
      <c r="CP529" s="47">
        <f t="shared" ref="CP529:CQ529" si="242">(CA529*5)/6</f>
        <v>1.875</v>
      </c>
      <c r="CQ529" s="47">
        <f t="shared" si="242"/>
        <v>2.333333333</v>
      </c>
      <c r="CR529" s="47">
        <v>2.0</v>
      </c>
      <c r="CT529" s="5" t="s">
        <v>11</v>
      </c>
      <c r="CU529" s="24">
        <f t="shared" si="218"/>
        <v>49.33333333</v>
      </c>
      <c r="CV529" s="24">
        <f t="shared" si="219"/>
        <v>63.33333333</v>
      </c>
      <c r="CW529" s="24">
        <f t="shared" si="220"/>
        <v>80</v>
      </c>
      <c r="CX529" s="24">
        <f t="shared" si="221"/>
        <v>40</v>
      </c>
      <c r="DB529">
        <f t="shared" si="222"/>
        <v>37</v>
      </c>
      <c r="DC529">
        <f t="shared" si="223"/>
        <v>19</v>
      </c>
      <c r="DD529">
        <f t="shared" si="224"/>
        <v>24</v>
      </c>
      <c r="DE529">
        <f t="shared" si="225"/>
        <v>6</v>
      </c>
      <c r="DF529">
        <f t="shared" si="226"/>
        <v>86</v>
      </c>
      <c r="DG529">
        <f t="shared" si="227"/>
        <v>21</v>
      </c>
      <c r="DH529">
        <f t="shared" si="228"/>
        <v>8</v>
      </c>
      <c r="DI529">
        <f t="shared" si="229"/>
        <v>7</v>
      </c>
      <c r="DJ529">
        <f t="shared" si="230"/>
        <v>1</v>
      </c>
      <c r="DK529" s="50">
        <f t="shared" si="231"/>
        <v>86</v>
      </c>
      <c r="DL529">
        <f t="shared" si="232"/>
        <v>18</v>
      </c>
      <c r="DM529">
        <f t="shared" si="233"/>
        <v>14</v>
      </c>
      <c r="DN529">
        <f t="shared" si="234"/>
        <v>4</v>
      </c>
    </row>
    <row r="530">
      <c r="B530" s="5" t="s">
        <v>12</v>
      </c>
      <c r="C530" s="6">
        <v>5.0</v>
      </c>
      <c r="D530" s="6">
        <v>5.0</v>
      </c>
      <c r="E530" s="6">
        <v>4.0</v>
      </c>
      <c r="F530" s="6">
        <v>0.0</v>
      </c>
      <c r="G530" s="6">
        <v>0.0</v>
      </c>
      <c r="H530" s="6">
        <v>0.0</v>
      </c>
      <c r="I530" s="6">
        <v>5.0</v>
      </c>
      <c r="J530" s="6">
        <v>5.0</v>
      </c>
      <c r="K530" s="6">
        <v>5.0</v>
      </c>
      <c r="L530" s="6">
        <v>5.0</v>
      </c>
      <c r="M530" s="6">
        <v>5.0</v>
      </c>
      <c r="N530" s="6">
        <v>5.0</v>
      </c>
      <c r="O530" s="6">
        <v>5.0</v>
      </c>
      <c r="P530" s="6">
        <v>5.0</v>
      </c>
      <c r="Q530" s="6">
        <v>5.0</v>
      </c>
      <c r="R530" s="6">
        <v>5.0</v>
      </c>
      <c r="S530" s="6">
        <v>5.0</v>
      </c>
      <c r="T530" s="6">
        <v>3.0</v>
      </c>
      <c r="U530" s="6">
        <v>0.0</v>
      </c>
      <c r="V530" s="6">
        <v>3.0</v>
      </c>
      <c r="W530" s="6">
        <v>0.0</v>
      </c>
      <c r="X530" s="6">
        <v>3.0</v>
      </c>
      <c r="Y530" s="6">
        <v>4.0</v>
      </c>
      <c r="Z530" s="6">
        <v>0.0</v>
      </c>
      <c r="AA530" s="6">
        <v>0.0</v>
      </c>
      <c r="AB530" s="6">
        <v>0.0</v>
      </c>
      <c r="AC530" s="6">
        <v>0.0</v>
      </c>
      <c r="AD530" s="6">
        <v>0.0</v>
      </c>
      <c r="AE530" s="6">
        <v>5.0</v>
      </c>
      <c r="AF530" s="6">
        <v>5.0</v>
      </c>
      <c r="AI530" s="44">
        <v>0.0</v>
      </c>
      <c r="AJ530" s="51" t="s">
        <v>209</v>
      </c>
      <c r="AK530" s="44">
        <v>0.0</v>
      </c>
      <c r="AL530" s="44">
        <v>0.0</v>
      </c>
      <c r="AM530" s="44">
        <v>0.0</v>
      </c>
      <c r="AN530" s="44">
        <v>30.0</v>
      </c>
      <c r="AO530" s="44">
        <v>0.0</v>
      </c>
      <c r="AP530" s="51" t="s">
        <v>218</v>
      </c>
      <c r="AQ530" s="44">
        <v>0.0</v>
      </c>
      <c r="AR530" s="44">
        <v>0.0</v>
      </c>
      <c r="AS530" s="44">
        <v>0.0</v>
      </c>
      <c r="AT530" s="44">
        <v>38.0</v>
      </c>
      <c r="AU530" s="51" t="s">
        <v>151</v>
      </c>
      <c r="AV530" s="44">
        <v>0.0</v>
      </c>
      <c r="BA530" s="32">
        <v>4.0</v>
      </c>
      <c r="BB530" s="32">
        <v>4.0</v>
      </c>
      <c r="BC530" s="32">
        <v>5.0</v>
      </c>
      <c r="BD530" s="32">
        <v>4.0</v>
      </c>
      <c r="BE530" s="32">
        <v>4.0</v>
      </c>
      <c r="BF530" s="32">
        <v>5.0</v>
      </c>
      <c r="BG530" s="32">
        <v>4.0</v>
      </c>
      <c r="BH530" s="32">
        <v>4.0</v>
      </c>
      <c r="BK530" s="32">
        <v>3.0</v>
      </c>
      <c r="BL530" s="32">
        <v>0.0</v>
      </c>
      <c r="BM530" s="32">
        <v>0.0</v>
      </c>
      <c r="BN530" s="32">
        <v>0.0</v>
      </c>
      <c r="BO530" s="32">
        <v>0.0</v>
      </c>
      <c r="BQ530" s="46">
        <f t="shared" si="204"/>
        <v>2</v>
      </c>
      <c r="BR530" s="46">
        <f t="shared" si="205"/>
        <v>4.166666667</v>
      </c>
      <c r="BS530" s="46">
        <f t="shared" si="206"/>
        <v>3.833333333</v>
      </c>
      <c r="BT530" s="46">
        <f t="shared" si="207"/>
        <v>4.666666667</v>
      </c>
      <c r="BU530" s="46">
        <f t="shared" si="208"/>
        <v>3.066666667</v>
      </c>
      <c r="BV530" s="47">
        <f t="shared" si="209"/>
        <v>2.166666667</v>
      </c>
      <c r="BW530" s="47">
        <f t="shared" si="210"/>
        <v>1</v>
      </c>
      <c r="BX530" s="47">
        <f t="shared" si="211"/>
        <v>3</v>
      </c>
      <c r="BY530" s="47">
        <f t="shared" si="212"/>
        <v>1.666666667</v>
      </c>
      <c r="BZ530" s="48">
        <f t="shared" si="213"/>
        <v>0</v>
      </c>
      <c r="CA530" s="47">
        <f t="shared" si="214"/>
        <v>4.25</v>
      </c>
      <c r="CB530" s="47">
        <f t="shared" si="215"/>
        <v>0.6</v>
      </c>
      <c r="CC530" s="47">
        <f t="shared" si="216"/>
        <v>2.5</v>
      </c>
      <c r="CF530" s="48">
        <v>2.0</v>
      </c>
      <c r="CG530" s="48">
        <v>4.166666666666667</v>
      </c>
      <c r="CH530" s="48">
        <v>3.8333333333333335</v>
      </c>
      <c r="CI530" s="48">
        <v>4.666666666666667</v>
      </c>
      <c r="CJ530" s="48">
        <v>3.066666666666667</v>
      </c>
      <c r="CK530" s="47">
        <v>2.1666666666666665</v>
      </c>
      <c r="CL530" s="47">
        <v>1.0</v>
      </c>
      <c r="CM530" s="47">
        <v>3.0</v>
      </c>
      <c r="CN530" s="47">
        <v>1.6666666666666667</v>
      </c>
      <c r="CO530" s="48">
        <v>0.0</v>
      </c>
      <c r="CP530" s="47">
        <f t="shared" ref="CP530:CQ530" si="243">(CA530*5)/6</f>
        <v>3.541666667</v>
      </c>
      <c r="CQ530" s="47">
        <f t="shared" si="243"/>
        <v>0.5</v>
      </c>
      <c r="CR530" s="47">
        <v>2.5</v>
      </c>
      <c r="CT530" s="5" t="s">
        <v>12</v>
      </c>
      <c r="CU530" s="24">
        <f t="shared" si="218"/>
        <v>40</v>
      </c>
      <c r="CV530" s="24">
        <f t="shared" si="219"/>
        <v>83.33333333</v>
      </c>
      <c r="CW530" s="24">
        <f t="shared" si="220"/>
        <v>76.66666667</v>
      </c>
      <c r="CX530" s="24">
        <f t="shared" si="221"/>
        <v>93.33333333</v>
      </c>
      <c r="DB530">
        <f t="shared" si="222"/>
        <v>30</v>
      </c>
      <c r="DC530">
        <f t="shared" si="223"/>
        <v>25</v>
      </c>
      <c r="DD530">
        <f t="shared" si="224"/>
        <v>23</v>
      </c>
      <c r="DE530">
        <f t="shared" si="225"/>
        <v>14</v>
      </c>
      <c r="DF530">
        <f t="shared" si="226"/>
        <v>92</v>
      </c>
      <c r="DG530">
        <f t="shared" si="227"/>
        <v>13</v>
      </c>
      <c r="DH530">
        <f t="shared" si="228"/>
        <v>3</v>
      </c>
      <c r="DI530">
        <f t="shared" si="229"/>
        <v>9</v>
      </c>
      <c r="DJ530">
        <f t="shared" si="230"/>
        <v>5</v>
      </c>
      <c r="DK530" s="50">
        <f t="shared" si="231"/>
        <v>0</v>
      </c>
      <c r="DL530">
        <f t="shared" si="232"/>
        <v>34</v>
      </c>
      <c r="DM530">
        <f t="shared" si="233"/>
        <v>3</v>
      </c>
      <c r="DN530">
        <f t="shared" si="234"/>
        <v>5</v>
      </c>
    </row>
    <row r="531">
      <c r="B531" s="5" t="s">
        <v>13</v>
      </c>
      <c r="C531" s="6">
        <v>5.0</v>
      </c>
      <c r="D531" s="6">
        <v>5.0</v>
      </c>
      <c r="E531" s="6">
        <v>5.0</v>
      </c>
      <c r="F531" s="6">
        <v>3.0</v>
      </c>
      <c r="G531" s="6">
        <v>5.0</v>
      </c>
      <c r="H531" s="6">
        <v>3.0</v>
      </c>
      <c r="I531" s="6">
        <v>5.0</v>
      </c>
      <c r="J531" s="6">
        <v>3.0</v>
      </c>
      <c r="K531" s="6">
        <v>1.0</v>
      </c>
      <c r="L531" s="6">
        <v>5.0</v>
      </c>
      <c r="M531" s="6">
        <v>5.0</v>
      </c>
      <c r="N531" s="6">
        <v>3.0</v>
      </c>
      <c r="O531" s="6">
        <v>5.0</v>
      </c>
      <c r="P531" s="6">
        <v>4.0</v>
      </c>
      <c r="Q531" s="6">
        <v>2.0</v>
      </c>
      <c r="R531" s="6">
        <v>2.0</v>
      </c>
      <c r="S531" s="6">
        <v>4.0</v>
      </c>
      <c r="T531" s="6">
        <v>3.0</v>
      </c>
      <c r="U531" s="6">
        <v>5.0</v>
      </c>
      <c r="V531" s="6">
        <v>4.0</v>
      </c>
      <c r="W531" s="6">
        <v>2.0</v>
      </c>
      <c r="X531" s="6">
        <v>5.0</v>
      </c>
      <c r="Y531" s="6">
        <v>2.0</v>
      </c>
      <c r="Z531" s="6">
        <v>2.0</v>
      </c>
      <c r="AA531" s="6">
        <v>3.0</v>
      </c>
      <c r="AB531" s="6">
        <v>4.0</v>
      </c>
      <c r="AC531" s="6">
        <v>1.0</v>
      </c>
      <c r="AD531" s="6">
        <v>2.0</v>
      </c>
      <c r="AE531" s="6">
        <v>4.0</v>
      </c>
      <c r="AF531" s="6">
        <v>3.0</v>
      </c>
      <c r="AI531" s="44">
        <v>107.0</v>
      </c>
      <c r="AJ531" s="51" t="s">
        <v>209</v>
      </c>
      <c r="AK531" s="44" t="s">
        <v>151</v>
      </c>
      <c r="AL531" s="44">
        <v>112.0</v>
      </c>
      <c r="AM531" s="44">
        <v>112.0</v>
      </c>
      <c r="AN531" s="44" t="s">
        <v>151</v>
      </c>
      <c r="AO531" s="44" t="s">
        <v>151</v>
      </c>
      <c r="AP531" s="51" t="s">
        <v>215</v>
      </c>
      <c r="AQ531" s="44" t="s">
        <v>151</v>
      </c>
      <c r="AR531" s="44" t="s">
        <v>151</v>
      </c>
      <c r="AS531" s="44" t="s">
        <v>151</v>
      </c>
      <c r="AT531" s="44" t="s">
        <v>151</v>
      </c>
      <c r="AU531" s="51" t="s">
        <v>217</v>
      </c>
      <c r="AV531" s="44">
        <v>0.0</v>
      </c>
      <c r="BA531" s="32">
        <v>5.0</v>
      </c>
      <c r="BB531" s="32">
        <v>4.0</v>
      </c>
      <c r="BC531" s="32">
        <v>5.0</v>
      </c>
      <c r="BD531" s="32">
        <v>5.0</v>
      </c>
      <c r="BE531" s="32">
        <v>1.0</v>
      </c>
      <c r="BF531" s="32">
        <v>6.0</v>
      </c>
      <c r="BG531" s="32">
        <v>6.0</v>
      </c>
      <c r="BH531" s="32">
        <v>6.0</v>
      </c>
      <c r="BK531" s="32">
        <v>5.0</v>
      </c>
      <c r="BL531" s="32">
        <v>4.0</v>
      </c>
      <c r="BM531" s="32">
        <v>5.0</v>
      </c>
      <c r="BN531" s="32">
        <v>5.0</v>
      </c>
      <c r="BO531" s="32">
        <v>5.0</v>
      </c>
      <c r="BQ531" s="46">
        <f t="shared" si="204"/>
        <v>2.8</v>
      </c>
      <c r="BR531" s="46">
        <f t="shared" si="205"/>
        <v>3.166666667</v>
      </c>
      <c r="BS531" s="46">
        <f t="shared" si="206"/>
        <v>5</v>
      </c>
      <c r="BT531" s="46">
        <f t="shared" si="207"/>
        <v>4.666666667</v>
      </c>
      <c r="BU531" s="46">
        <f t="shared" si="208"/>
        <v>3.5</v>
      </c>
      <c r="BV531" s="47">
        <f t="shared" si="209"/>
        <v>3.5</v>
      </c>
      <c r="BW531" s="47">
        <f t="shared" si="210"/>
        <v>3</v>
      </c>
      <c r="BX531" s="47">
        <f t="shared" si="211"/>
        <v>2</v>
      </c>
      <c r="BY531" s="47">
        <f t="shared" si="212"/>
        <v>2</v>
      </c>
      <c r="BZ531" s="48">
        <f t="shared" si="213"/>
        <v>4.458333333</v>
      </c>
      <c r="CA531" s="47">
        <f t="shared" si="214"/>
        <v>4.75</v>
      </c>
      <c r="CB531" s="47">
        <f t="shared" si="215"/>
        <v>4.8</v>
      </c>
      <c r="CC531" s="47">
        <f t="shared" si="216"/>
        <v>3</v>
      </c>
      <c r="CF531" s="48">
        <v>2.8</v>
      </c>
      <c r="CG531" s="48">
        <v>3.1666666666666665</v>
      </c>
      <c r="CH531" s="48">
        <v>5.0</v>
      </c>
      <c r="CI531" s="48">
        <v>4.666666666666667</v>
      </c>
      <c r="CJ531" s="48">
        <v>3.5</v>
      </c>
      <c r="CK531" s="47">
        <v>3.5</v>
      </c>
      <c r="CL531" s="47">
        <v>3.0</v>
      </c>
      <c r="CM531" s="47">
        <v>2.0</v>
      </c>
      <c r="CN531" s="47">
        <v>2.0</v>
      </c>
      <c r="CO531" s="48">
        <v>4.458333333333333</v>
      </c>
      <c r="CP531" s="47">
        <f t="shared" ref="CP531:CQ531" si="244">(CA531*5)/6</f>
        <v>3.958333333</v>
      </c>
      <c r="CQ531" s="47">
        <f t="shared" si="244"/>
        <v>4</v>
      </c>
      <c r="CR531" s="47">
        <v>3.0</v>
      </c>
      <c r="CT531" s="5" t="s">
        <v>13</v>
      </c>
      <c r="CU531" s="24">
        <f t="shared" si="218"/>
        <v>56</v>
      </c>
      <c r="CV531" s="24">
        <f t="shared" si="219"/>
        <v>63.33333333</v>
      </c>
      <c r="CW531" s="24">
        <f t="shared" si="220"/>
        <v>100</v>
      </c>
      <c r="CX531" s="24">
        <f t="shared" si="221"/>
        <v>93.33333333</v>
      </c>
      <c r="DB531">
        <f t="shared" si="222"/>
        <v>42</v>
      </c>
      <c r="DC531">
        <f t="shared" si="223"/>
        <v>19</v>
      </c>
      <c r="DD531">
        <f t="shared" si="224"/>
        <v>30</v>
      </c>
      <c r="DE531">
        <f t="shared" si="225"/>
        <v>14</v>
      </c>
      <c r="DF531">
        <f t="shared" si="226"/>
        <v>105</v>
      </c>
      <c r="DG531">
        <f t="shared" si="227"/>
        <v>21</v>
      </c>
      <c r="DH531">
        <f t="shared" si="228"/>
        <v>9</v>
      </c>
      <c r="DI531">
        <f t="shared" si="229"/>
        <v>6</v>
      </c>
      <c r="DJ531">
        <f t="shared" si="230"/>
        <v>6</v>
      </c>
      <c r="DK531" s="50">
        <f t="shared" si="231"/>
        <v>107</v>
      </c>
      <c r="DL531">
        <f t="shared" si="232"/>
        <v>38</v>
      </c>
      <c r="DM531">
        <f t="shared" si="233"/>
        <v>24</v>
      </c>
      <c r="DN531">
        <f t="shared" si="234"/>
        <v>6</v>
      </c>
    </row>
    <row r="532">
      <c r="B532" s="5" t="s">
        <v>14</v>
      </c>
      <c r="C532" s="6">
        <v>4.0</v>
      </c>
      <c r="D532" s="6">
        <v>4.0</v>
      </c>
      <c r="E532" s="6">
        <v>4.0</v>
      </c>
      <c r="F532" s="6">
        <v>4.0</v>
      </c>
      <c r="G532" s="6">
        <v>4.0</v>
      </c>
      <c r="H532" s="6">
        <v>3.0</v>
      </c>
      <c r="I532" s="6">
        <v>4.0</v>
      </c>
      <c r="J532" s="6">
        <v>4.0</v>
      </c>
      <c r="K532" s="6">
        <v>5.0</v>
      </c>
      <c r="L532" s="6">
        <v>5.0</v>
      </c>
      <c r="M532" s="6">
        <v>5.0</v>
      </c>
      <c r="N532" s="6">
        <v>4.0</v>
      </c>
      <c r="O532" s="6">
        <v>4.0</v>
      </c>
      <c r="P532" s="6">
        <v>4.0</v>
      </c>
      <c r="Q532" s="6">
        <v>4.0</v>
      </c>
      <c r="R532" s="6">
        <v>4.0</v>
      </c>
      <c r="S532" s="6">
        <v>4.0</v>
      </c>
      <c r="T532" s="6">
        <v>4.0</v>
      </c>
      <c r="U532" s="6">
        <v>4.0</v>
      </c>
      <c r="V532" s="6">
        <v>4.0</v>
      </c>
      <c r="W532" s="6">
        <v>3.0</v>
      </c>
      <c r="X532" s="6">
        <v>4.0</v>
      </c>
      <c r="Y532" s="6">
        <v>4.0</v>
      </c>
      <c r="Z532" s="6">
        <v>4.0</v>
      </c>
      <c r="AA532" s="6">
        <v>3.0</v>
      </c>
      <c r="AB532" s="6">
        <v>5.0</v>
      </c>
      <c r="AC532" s="6">
        <v>2.0</v>
      </c>
      <c r="AD532" s="6">
        <v>4.0</v>
      </c>
      <c r="AE532" s="6">
        <v>5.0</v>
      </c>
      <c r="AF532" s="6">
        <v>4.0</v>
      </c>
      <c r="AI532" s="44">
        <v>120.0</v>
      </c>
      <c r="AJ532" s="51" t="s">
        <v>209</v>
      </c>
      <c r="AK532" s="44" t="s">
        <v>151</v>
      </c>
      <c r="AL532" s="44">
        <v>83.0</v>
      </c>
      <c r="AM532" s="44">
        <v>107.0</v>
      </c>
      <c r="AN532" s="44" t="s">
        <v>151</v>
      </c>
      <c r="AO532" s="44" t="s">
        <v>151</v>
      </c>
      <c r="AP532" s="51" t="s">
        <v>215</v>
      </c>
      <c r="AQ532" s="44" t="s">
        <v>151</v>
      </c>
      <c r="AR532" s="44" t="s">
        <v>151</v>
      </c>
      <c r="AS532" s="44" t="s">
        <v>151</v>
      </c>
      <c r="AT532" s="44" t="s">
        <v>151</v>
      </c>
      <c r="AU532" s="51" t="s">
        <v>151</v>
      </c>
      <c r="AV532" s="44" t="s">
        <v>151</v>
      </c>
      <c r="BA532" s="32">
        <v>4.0</v>
      </c>
      <c r="BB532" s="32">
        <v>1.0</v>
      </c>
      <c r="BC532" s="32">
        <v>1.0</v>
      </c>
      <c r="BD532" s="32">
        <v>4.0</v>
      </c>
      <c r="BE532" s="32">
        <v>1.0</v>
      </c>
      <c r="BF532" s="32">
        <v>6.0</v>
      </c>
      <c r="BG532" s="32">
        <v>6.0</v>
      </c>
      <c r="BH532" s="32">
        <v>5.0</v>
      </c>
      <c r="BK532" s="32">
        <v>2.0</v>
      </c>
      <c r="BL532" s="32">
        <v>3.0</v>
      </c>
      <c r="BM532" s="32">
        <v>2.0</v>
      </c>
      <c r="BN532" s="32">
        <v>3.0</v>
      </c>
      <c r="BO532" s="32">
        <v>2.0</v>
      </c>
      <c r="BQ532" s="46">
        <f t="shared" si="204"/>
        <v>3.933333333</v>
      </c>
      <c r="BR532" s="46">
        <f t="shared" si="205"/>
        <v>3.666666667</v>
      </c>
      <c r="BS532" s="46">
        <f t="shared" si="206"/>
        <v>4.166666667</v>
      </c>
      <c r="BT532" s="46">
        <f t="shared" si="207"/>
        <v>4.666666667</v>
      </c>
      <c r="BU532" s="46">
        <f t="shared" si="208"/>
        <v>4</v>
      </c>
      <c r="BV532" s="47">
        <f t="shared" si="209"/>
        <v>4.166666667</v>
      </c>
      <c r="BW532" s="47">
        <f t="shared" si="210"/>
        <v>3.333333333</v>
      </c>
      <c r="BX532" s="47">
        <f t="shared" si="211"/>
        <v>4.333333333</v>
      </c>
      <c r="BY532" s="47">
        <f t="shared" si="212"/>
        <v>3.666666667</v>
      </c>
      <c r="BZ532" s="48">
        <f t="shared" si="213"/>
        <v>5</v>
      </c>
      <c r="CA532" s="47">
        <f t="shared" si="214"/>
        <v>3.5</v>
      </c>
      <c r="CB532" s="47">
        <f t="shared" si="215"/>
        <v>2.4</v>
      </c>
      <c r="CC532" s="47">
        <f t="shared" si="216"/>
        <v>3</v>
      </c>
      <c r="CF532" s="48">
        <v>3.933333333333333</v>
      </c>
      <c r="CG532" s="48">
        <v>3.6666666666666665</v>
      </c>
      <c r="CH532" s="48">
        <v>4.166666666666667</v>
      </c>
      <c r="CI532" s="48">
        <v>4.666666666666667</v>
      </c>
      <c r="CJ532" s="48">
        <v>4.0</v>
      </c>
      <c r="CK532" s="47">
        <v>4.166666666666667</v>
      </c>
      <c r="CL532" s="47">
        <v>3.3333333333333335</v>
      </c>
      <c r="CM532" s="47">
        <v>4.333333333333333</v>
      </c>
      <c r="CN532" s="47">
        <v>3.6666666666666665</v>
      </c>
      <c r="CO532" s="48">
        <v>5.0</v>
      </c>
      <c r="CP532" s="47">
        <f t="shared" ref="CP532:CQ532" si="245">(CA532*5)/6</f>
        <v>2.916666667</v>
      </c>
      <c r="CQ532" s="47">
        <f t="shared" si="245"/>
        <v>2</v>
      </c>
      <c r="CR532" s="47">
        <v>3.0</v>
      </c>
      <c r="CT532" s="11" t="s">
        <v>14</v>
      </c>
      <c r="CU532" s="49">
        <f t="shared" si="218"/>
        <v>78.66666667</v>
      </c>
      <c r="CV532" s="49">
        <f t="shared" si="219"/>
        <v>73.33333333</v>
      </c>
      <c r="CW532" s="49">
        <f t="shared" si="220"/>
        <v>83.33333333</v>
      </c>
      <c r="CX532" s="49">
        <f t="shared" si="221"/>
        <v>93.33333333</v>
      </c>
      <c r="DB532">
        <f t="shared" si="222"/>
        <v>59</v>
      </c>
      <c r="DC532">
        <f t="shared" si="223"/>
        <v>22</v>
      </c>
      <c r="DD532">
        <f t="shared" si="224"/>
        <v>25</v>
      </c>
      <c r="DE532">
        <f t="shared" si="225"/>
        <v>14</v>
      </c>
      <c r="DF532">
        <f t="shared" si="226"/>
        <v>120</v>
      </c>
      <c r="DG532">
        <f t="shared" si="227"/>
        <v>25</v>
      </c>
      <c r="DH532">
        <f t="shared" si="228"/>
        <v>10</v>
      </c>
      <c r="DI532">
        <f t="shared" si="229"/>
        <v>13</v>
      </c>
      <c r="DJ532">
        <f t="shared" si="230"/>
        <v>11</v>
      </c>
      <c r="DK532" s="50">
        <f t="shared" si="231"/>
        <v>120</v>
      </c>
      <c r="DL532">
        <f t="shared" si="232"/>
        <v>28</v>
      </c>
      <c r="DM532">
        <f t="shared" si="233"/>
        <v>12</v>
      </c>
      <c r="DN532">
        <f t="shared" si="234"/>
        <v>6</v>
      </c>
    </row>
    <row r="533">
      <c r="B533" s="5" t="s">
        <v>15</v>
      </c>
      <c r="C533" s="6">
        <v>4.0</v>
      </c>
      <c r="D533" s="6">
        <v>4.0</v>
      </c>
      <c r="E533" s="6">
        <v>4.0</v>
      </c>
      <c r="F533" s="6">
        <v>4.0</v>
      </c>
      <c r="G533" s="6">
        <v>4.0</v>
      </c>
      <c r="H533" s="6">
        <v>4.0</v>
      </c>
      <c r="I533" s="6">
        <v>4.0</v>
      </c>
      <c r="J533" s="6">
        <v>4.0</v>
      </c>
      <c r="K533" s="6">
        <v>4.0</v>
      </c>
      <c r="L533" s="6">
        <v>4.0</v>
      </c>
      <c r="M533" s="6">
        <v>3.0</v>
      </c>
      <c r="N533" s="6">
        <v>4.0</v>
      </c>
      <c r="O533" s="6">
        <v>5.0</v>
      </c>
      <c r="P533" s="6">
        <v>4.0</v>
      </c>
      <c r="Q533" s="6">
        <v>4.0</v>
      </c>
      <c r="R533" s="6">
        <v>4.0</v>
      </c>
      <c r="S533" s="6">
        <v>4.0</v>
      </c>
      <c r="T533" s="6">
        <v>5.0</v>
      </c>
      <c r="U533" s="6">
        <v>5.0</v>
      </c>
      <c r="V533" s="6">
        <v>5.0</v>
      </c>
      <c r="W533" s="6">
        <v>4.0</v>
      </c>
      <c r="X533" s="6">
        <v>5.0</v>
      </c>
      <c r="Y533" s="6">
        <v>4.0</v>
      </c>
      <c r="Z533" s="6">
        <v>4.0</v>
      </c>
      <c r="AA533" s="6">
        <v>4.0</v>
      </c>
      <c r="AB533" s="6">
        <v>4.0</v>
      </c>
      <c r="AC533" s="6">
        <v>3.0</v>
      </c>
      <c r="AD533" s="6">
        <v>4.0</v>
      </c>
      <c r="AE533" s="6">
        <v>4.0</v>
      </c>
      <c r="AF533" s="6">
        <v>4.0</v>
      </c>
      <c r="AI533" s="44">
        <v>111.0</v>
      </c>
      <c r="AJ533" s="51" t="s">
        <v>209</v>
      </c>
      <c r="AK533" s="44">
        <v>60.0</v>
      </c>
      <c r="AL533" s="44">
        <v>60.0</v>
      </c>
      <c r="AM533" s="44">
        <v>116.0</v>
      </c>
      <c r="AN533" s="44">
        <v>5.0</v>
      </c>
      <c r="AO533" s="44">
        <v>0.0</v>
      </c>
      <c r="AP533" s="51" t="s">
        <v>215</v>
      </c>
      <c r="AQ533" s="44">
        <v>0.0</v>
      </c>
      <c r="AR533" s="44">
        <v>0.0</v>
      </c>
      <c r="AS533" s="44">
        <v>0.0</v>
      </c>
      <c r="AT533" s="44">
        <v>0.0</v>
      </c>
      <c r="AU533" s="51" t="s">
        <v>219</v>
      </c>
      <c r="AV533" s="44">
        <v>0.0</v>
      </c>
      <c r="BA533" s="32">
        <v>6.0</v>
      </c>
      <c r="BB533" s="32">
        <v>6.0</v>
      </c>
      <c r="BC533" s="32">
        <v>6.0</v>
      </c>
      <c r="BD533" s="32">
        <v>6.0</v>
      </c>
      <c r="BE533" s="32">
        <v>4.0</v>
      </c>
      <c r="BF533" s="32">
        <v>6.0</v>
      </c>
      <c r="BG533" s="32">
        <v>6.0</v>
      </c>
      <c r="BH533" s="32">
        <v>6.0</v>
      </c>
      <c r="BK533" s="32">
        <v>6.0</v>
      </c>
      <c r="BL533" s="32">
        <v>6.0</v>
      </c>
      <c r="BM533" s="32">
        <v>6.0</v>
      </c>
      <c r="BN533" s="32">
        <v>6.0</v>
      </c>
      <c r="BO533" s="32">
        <v>6.0</v>
      </c>
      <c r="BQ533" s="46">
        <f t="shared" si="204"/>
        <v>4.133333333</v>
      </c>
      <c r="BR533" s="46">
        <f t="shared" si="205"/>
        <v>3.833333333</v>
      </c>
      <c r="BS533" s="46">
        <f t="shared" si="206"/>
        <v>4.333333333</v>
      </c>
      <c r="BT533" s="46">
        <f t="shared" si="207"/>
        <v>4</v>
      </c>
      <c r="BU533" s="46">
        <f t="shared" si="208"/>
        <v>4.1</v>
      </c>
      <c r="BV533" s="47">
        <f t="shared" si="209"/>
        <v>4.166666667</v>
      </c>
      <c r="BW533" s="47">
        <f t="shared" si="210"/>
        <v>4.333333333</v>
      </c>
      <c r="BX533" s="47">
        <f t="shared" si="211"/>
        <v>4</v>
      </c>
      <c r="BY533" s="47">
        <f t="shared" si="212"/>
        <v>4</v>
      </c>
      <c r="BZ533" s="48">
        <f t="shared" si="213"/>
        <v>4.625</v>
      </c>
      <c r="CA533" s="47">
        <f t="shared" si="214"/>
        <v>5.75</v>
      </c>
      <c r="CB533" s="47">
        <f t="shared" si="215"/>
        <v>6</v>
      </c>
      <c r="CC533" s="47">
        <f t="shared" si="216"/>
        <v>3.5</v>
      </c>
      <c r="CF533" s="48">
        <v>4.133333333333334</v>
      </c>
      <c r="CG533" s="48">
        <v>3.8333333333333335</v>
      </c>
      <c r="CH533" s="48">
        <v>4.333333333333333</v>
      </c>
      <c r="CI533" s="48">
        <v>4.0</v>
      </c>
      <c r="CJ533" s="48">
        <v>4.1</v>
      </c>
      <c r="CK533" s="47">
        <v>4.166666666666667</v>
      </c>
      <c r="CL533" s="47">
        <v>4.333333333333333</v>
      </c>
      <c r="CM533" s="47">
        <v>4.0</v>
      </c>
      <c r="CN533" s="47">
        <v>4.0</v>
      </c>
      <c r="CO533" s="48">
        <v>4.625</v>
      </c>
      <c r="CP533" s="47">
        <f t="shared" ref="CP533:CQ533" si="246">(CA533*5)/6</f>
        <v>4.791666667</v>
      </c>
      <c r="CQ533" s="47">
        <f t="shared" si="246"/>
        <v>5</v>
      </c>
      <c r="CR533" s="47">
        <v>3.5</v>
      </c>
      <c r="CT533" s="11" t="s">
        <v>15</v>
      </c>
      <c r="CU533" s="49">
        <f t="shared" si="218"/>
        <v>82.66666667</v>
      </c>
      <c r="CV533" s="49">
        <f t="shared" si="219"/>
        <v>76.66666667</v>
      </c>
      <c r="CW533" s="49">
        <f t="shared" si="220"/>
        <v>86.66666667</v>
      </c>
      <c r="CX533" s="49">
        <f t="shared" si="221"/>
        <v>80</v>
      </c>
      <c r="DB533">
        <f t="shared" si="222"/>
        <v>62</v>
      </c>
      <c r="DC533">
        <f t="shared" si="223"/>
        <v>23</v>
      </c>
      <c r="DD533">
        <f t="shared" si="224"/>
        <v>26</v>
      </c>
      <c r="DE533">
        <f t="shared" si="225"/>
        <v>12</v>
      </c>
      <c r="DF533">
        <f t="shared" si="226"/>
        <v>123</v>
      </c>
      <c r="DG533">
        <f t="shared" si="227"/>
        <v>25</v>
      </c>
      <c r="DH533">
        <f t="shared" si="228"/>
        <v>13</v>
      </c>
      <c r="DI533">
        <f t="shared" si="229"/>
        <v>12</v>
      </c>
      <c r="DJ533">
        <f t="shared" si="230"/>
        <v>12</v>
      </c>
      <c r="DK533" s="50">
        <f t="shared" si="231"/>
        <v>111</v>
      </c>
      <c r="DL533">
        <f t="shared" si="232"/>
        <v>46</v>
      </c>
      <c r="DM533">
        <f t="shared" si="233"/>
        <v>30</v>
      </c>
      <c r="DN533">
        <f t="shared" si="234"/>
        <v>7</v>
      </c>
    </row>
    <row r="534">
      <c r="B534" s="8" t="s">
        <v>16</v>
      </c>
      <c r="C534" s="6">
        <v>4.0</v>
      </c>
      <c r="D534" s="6">
        <v>5.0</v>
      </c>
      <c r="E534" s="6">
        <v>3.0</v>
      </c>
      <c r="F534" s="6">
        <v>4.0</v>
      </c>
      <c r="G534" s="6">
        <v>3.0</v>
      </c>
      <c r="H534" s="6">
        <v>3.0</v>
      </c>
      <c r="I534" s="6">
        <v>5.0</v>
      </c>
      <c r="J534" s="6">
        <v>4.0</v>
      </c>
      <c r="K534" s="6">
        <v>3.0</v>
      </c>
      <c r="L534" s="6">
        <v>4.0</v>
      </c>
      <c r="M534" s="6">
        <v>5.0</v>
      </c>
      <c r="N534" s="6">
        <v>4.0</v>
      </c>
      <c r="O534" s="6">
        <v>4.0</v>
      </c>
      <c r="P534" s="6">
        <v>4.0</v>
      </c>
      <c r="Q534" s="6">
        <v>3.0</v>
      </c>
      <c r="R534" s="6">
        <v>5.0</v>
      </c>
      <c r="S534" s="6">
        <v>5.0</v>
      </c>
      <c r="T534" s="6">
        <v>2.0</v>
      </c>
      <c r="U534" s="6">
        <v>5.0</v>
      </c>
      <c r="V534" s="6">
        <v>4.0</v>
      </c>
      <c r="W534" s="6">
        <v>3.0</v>
      </c>
      <c r="X534" s="6">
        <v>4.0</v>
      </c>
      <c r="Y534" s="6">
        <v>1.0</v>
      </c>
      <c r="Z534" s="6">
        <v>1.0</v>
      </c>
      <c r="AA534" s="6">
        <v>1.0</v>
      </c>
      <c r="AB534" s="6">
        <v>4.0</v>
      </c>
      <c r="AC534" s="6">
        <v>0.0</v>
      </c>
      <c r="AD534" s="6">
        <v>1.0</v>
      </c>
      <c r="AE534" s="6">
        <v>4.0</v>
      </c>
      <c r="AF534" s="6">
        <v>4.0</v>
      </c>
      <c r="AI534" s="44">
        <v>102.0</v>
      </c>
      <c r="AJ534" s="51" t="s">
        <v>209</v>
      </c>
      <c r="AK534" s="44" t="s">
        <v>151</v>
      </c>
      <c r="AL534" s="44">
        <v>101.0</v>
      </c>
      <c r="AM534" s="44">
        <v>87.0</v>
      </c>
      <c r="AN534" s="44" t="s">
        <v>151</v>
      </c>
      <c r="AO534" s="44" t="s">
        <v>151</v>
      </c>
      <c r="AP534" s="51" t="s">
        <v>215</v>
      </c>
      <c r="AQ534" s="44" t="s">
        <v>151</v>
      </c>
      <c r="AR534" s="44" t="s">
        <v>151</v>
      </c>
      <c r="AS534" s="44" t="s">
        <v>151</v>
      </c>
      <c r="AT534" s="44" t="s">
        <v>151</v>
      </c>
      <c r="AU534" s="51" t="s">
        <v>151</v>
      </c>
      <c r="AV534" s="44" t="s">
        <v>151</v>
      </c>
      <c r="BA534" s="32">
        <v>1.0</v>
      </c>
      <c r="BB534" s="32">
        <v>3.0</v>
      </c>
      <c r="BC534" s="32">
        <v>5.0</v>
      </c>
      <c r="BD534" s="32">
        <v>5.0</v>
      </c>
      <c r="BE534" s="32">
        <v>3.0</v>
      </c>
      <c r="BF534" s="32">
        <v>5.0</v>
      </c>
      <c r="BG534" s="32">
        <v>6.0</v>
      </c>
      <c r="BH534" s="32">
        <v>6.0</v>
      </c>
      <c r="BK534" s="32">
        <v>3.0</v>
      </c>
      <c r="BL534" s="32">
        <v>4.0</v>
      </c>
      <c r="BM534" s="32">
        <v>3.0</v>
      </c>
      <c r="BN534" s="32">
        <v>2.0</v>
      </c>
      <c r="BO534" s="32">
        <v>4.0</v>
      </c>
      <c r="BQ534" s="46">
        <f t="shared" si="204"/>
        <v>2.8</v>
      </c>
      <c r="BR534" s="46">
        <f t="shared" si="205"/>
        <v>3.666666667</v>
      </c>
      <c r="BS534" s="46">
        <f t="shared" si="206"/>
        <v>4.5</v>
      </c>
      <c r="BT534" s="46">
        <f t="shared" si="207"/>
        <v>3.666666667</v>
      </c>
      <c r="BU534" s="46">
        <f t="shared" si="208"/>
        <v>3.4</v>
      </c>
      <c r="BV534" s="47">
        <f t="shared" si="209"/>
        <v>3.5</v>
      </c>
      <c r="BW534" s="47">
        <f t="shared" si="210"/>
        <v>2</v>
      </c>
      <c r="BX534" s="47">
        <f t="shared" si="211"/>
        <v>2.666666667</v>
      </c>
      <c r="BY534" s="47">
        <f t="shared" si="212"/>
        <v>2.333333333</v>
      </c>
      <c r="BZ534" s="48">
        <f t="shared" si="213"/>
        <v>4.25</v>
      </c>
      <c r="CA534" s="47">
        <f t="shared" si="214"/>
        <v>4.25</v>
      </c>
      <c r="CB534" s="47">
        <f t="shared" si="215"/>
        <v>3.2</v>
      </c>
      <c r="CC534" s="47">
        <f t="shared" si="216"/>
        <v>2.5</v>
      </c>
      <c r="CF534" s="48">
        <v>2.8</v>
      </c>
      <c r="CG534" s="48">
        <v>3.6666666666666665</v>
      </c>
      <c r="CH534" s="48">
        <v>4.5</v>
      </c>
      <c r="CI534" s="48">
        <v>3.6666666666666665</v>
      </c>
      <c r="CJ534" s="48">
        <v>3.4</v>
      </c>
      <c r="CK534" s="47">
        <v>3.5</v>
      </c>
      <c r="CL534" s="47">
        <v>2.0</v>
      </c>
      <c r="CM534" s="47">
        <v>2.6666666666666665</v>
      </c>
      <c r="CN534" s="47">
        <v>2.3333333333333335</v>
      </c>
      <c r="CO534" s="48">
        <v>4.25</v>
      </c>
      <c r="CP534" s="47">
        <f t="shared" ref="CP534:CQ534" si="247">(CA534*5)/6</f>
        <v>3.541666667</v>
      </c>
      <c r="CQ534" s="47">
        <f t="shared" si="247"/>
        <v>2.666666667</v>
      </c>
      <c r="CR534" s="47">
        <v>2.5</v>
      </c>
      <c r="CT534" s="8" t="s">
        <v>16</v>
      </c>
      <c r="CU534" s="24">
        <f t="shared" si="218"/>
        <v>56</v>
      </c>
      <c r="CV534" s="24">
        <f t="shared" si="219"/>
        <v>73.33333333</v>
      </c>
      <c r="CW534" s="24">
        <f t="shared" si="220"/>
        <v>90</v>
      </c>
      <c r="CX534" s="24">
        <f t="shared" si="221"/>
        <v>73.33333333</v>
      </c>
      <c r="DB534">
        <f t="shared" si="222"/>
        <v>42</v>
      </c>
      <c r="DC534">
        <f t="shared" si="223"/>
        <v>22</v>
      </c>
      <c r="DD534">
        <f t="shared" si="224"/>
        <v>27</v>
      </c>
      <c r="DE534">
        <f t="shared" si="225"/>
        <v>11</v>
      </c>
      <c r="DF534">
        <f t="shared" si="226"/>
        <v>102</v>
      </c>
      <c r="DG534">
        <f t="shared" si="227"/>
        <v>21</v>
      </c>
      <c r="DH534">
        <f t="shared" si="228"/>
        <v>6</v>
      </c>
      <c r="DI534">
        <f t="shared" si="229"/>
        <v>8</v>
      </c>
      <c r="DJ534">
        <f t="shared" si="230"/>
        <v>7</v>
      </c>
      <c r="DK534" s="50">
        <f t="shared" si="231"/>
        <v>102</v>
      </c>
      <c r="DL534">
        <f t="shared" si="232"/>
        <v>34</v>
      </c>
      <c r="DM534">
        <f t="shared" si="233"/>
        <v>16</v>
      </c>
      <c r="DN534">
        <f t="shared" si="234"/>
        <v>5</v>
      </c>
    </row>
    <row r="535">
      <c r="B535" s="8" t="s">
        <v>17</v>
      </c>
      <c r="C535" s="6">
        <v>3.0</v>
      </c>
      <c r="D535" s="6">
        <v>4.0</v>
      </c>
      <c r="E535" s="6">
        <v>5.0</v>
      </c>
      <c r="F535" s="6">
        <v>4.0</v>
      </c>
      <c r="G535" s="6">
        <v>2.0</v>
      </c>
      <c r="H535" s="6">
        <v>3.0</v>
      </c>
      <c r="I535" s="6">
        <v>1.0</v>
      </c>
      <c r="J535" s="6">
        <v>4.0</v>
      </c>
      <c r="K535" s="6">
        <v>2.0</v>
      </c>
      <c r="L535" s="6">
        <v>5.0</v>
      </c>
      <c r="M535" s="6">
        <v>1.0</v>
      </c>
      <c r="N535" s="6">
        <v>4.0</v>
      </c>
      <c r="O535" s="6">
        <v>2.0</v>
      </c>
      <c r="P535" s="6">
        <v>4.0</v>
      </c>
      <c r="Q535" s="6">
        <v>3.0</v>
      </c>
      <c r="R535" s="6">
        <v>3.0</v>
      </c>
      <c r="S535" s="6">
        <v>4.0</v>
      </c>
      <c r="T535" s="6">
        <v>3.0</v>
      </c>
      <c r="U535" s="6">
        <v>3.0</v>
      </c>
      <c r="V535" s="6">
        <v>2.0</v>
      </c>
      <c r="W535" s="6">
        <v>1.0</v>
      </c>
      <c r="X535" s="6">
        <v>1.0</v>
      </c>
      <c r="Y535" s="6">
        <v>3.0</v>
      </c>
      <c r="Z535" s="6">
        <v>3.0</v>
      </c>
      <c r="AA535" s="6">
        <v>2.0</v>
      </c>
      <c r="AB535" s="6">
        <v>1.0</v>
      </c>
      <c r="AC535" s="6">
        <v>0.0</v>
      </c>
      <c r="AD535" s="6">
        <v>2.0</v>
      </c>
      <c r="AE535" s="6">
        <v>4.0</v>
      </c>
      <c r="AF535" s="6">
        <v>4.0</v>
      </c>
      <c r="AI535" s="53">
        <v>112.69565217391305</v>
      </c>
      <c r="AJ535" s="51" t="s">
        <v>220</v>
      </c>
      <c r="AK535" s="53">
        <v>11.478260869565217</v>
      </c>
      <c r="AL535" s="53">
        <v>114.78260869565217</v>
      </c>
      <c r="AM535" s="53">
        <v>101.21739130434783</v>
      </c>
      <c r="AN535" s="53">
        <v>85.56521739130434</v>
      </c>
      <c r="AO535" s="53">
        <v>3.130434782608696</v>
      </c>
      <c r="AP535" s="51" t="s">
        <v>215</v>
      </c>
      <c r="AQ535" s="54">
        <v>0.0</v>
      </c>
      <c r="AR535" s="55">
        <v>0.0</v>
      </c>
      <c r="AS535" s="55">
        <v>7.304347826086956</v>
      </c>
      <c r="AT535" s="55">
        <v>5.217391304347826</v>
      </c>
      <c r="AU535" s="51" t="s">
        <v>151</v>
      </c>
      <c r="AV535" s="54">
        <v>0.0</v>
      </c>
      <c r="BA535" s="32">
        <v>1.0</v>
      </c>
      <c r="BB535" s="32">
        <v>4.0</v>
      </c>
      <c r="BC535" s="32">
        <v>6.0</v>
      </c>
      <c r="BD535" s="32">
        <v>0.0</v>
      </c>
      <c r="BE535" s="32">
        <v>0.0</v>
      </c>
      <c r="BF535" s="32">
        <v>0.0</v>
      </c>
      <c r="BG535" s="32">
        <v>6.0</v>
      </c>
      <c r="BH535" s="32">
        <v>6.0</v>
      </c>
      <c r="BK535" s="32">
        <v>1.0</v>
      </c>
      <c r="BL535" s="32">
        <v>4.0</v>
      </c>
      <c r="BM535" s="32">
        <v>3.0</v>
      </c>
      <c r="BN535" s="32">
        <v>5.0</v>
      </c>
      <c r="BO535" s="32">
        <v>5.0</v>
      </c>
      <c r="BQ535" s="46">
        <f t="shared" si="204"/>
        <v>2.533333333</v>
      </c>
      <c r="BR535" s="46">
        <f t="shared" si="205"/>
        <v>3.333333333</v>
      </c>
      <c r="BS535" s="46">
        <f t="shared" si="206"/>
        <v>1.833333333</v>
      </c>
      <c r="BT535" s="46">
        <f t="shared" si="207"/>
        <v>4.666666667</v>
      </c>
      <c r="BU535" s="46">
        <f t="shared" si="208"/>
        <v>2.766666667</v>
      </c>
      <c r="BV535" s="47">
        <f t="shared" si="209"/>
        <v>2.333333333</v>
      </c>
      <c r="BW535" s="47">
        <f t="shared" si="210"/>
        <v>2.666666667</v>
      </c>
      <c r="BX535" s="47">
        <f t="shared" si="211"/>
        <v>3</v>
      </c>
      <c r="BY535" s="47">
        <f t="shared" si="212"/>
        <v>2.333333333</v>
      </c>
      <c r="BZ535" s="48">
        <f t="shared" si="213"/>
        <v>4.695652174</v>
      </c>
      <c r="CA535" s="47">
        <f t="shared" si="214"/>
        <v>2.875</v>
      </c>
      <c r="CB535" s="47">
        <f t="shared" si="215"/>
        <v>3.6</v>
      </c>
      <c r="CC535" s="47">
        <f t="shared" si="216"/>
        <v>2</v>
      </c>
      <c r="CF535" s="48">
        <v>2.533333333333333</v>
      </c>
      <c r="CG535" s="48">
        <v>3.3333333333333335</v>
      </c>
      <c r="CH535" s="48">
        <v>1.8333333333333333</v>
      </c>
      <c r="CI535" s="48">
        <v>4.666666666666667</v>
      </c>
      <c r="CJ535" s="48">
        <v>2.7666666666666666</v>
      </c>
      <c r="CK535" s="47">
        <v>2.3333333333333335</v>
      </c>
      <c r="CL535" s="47">
        <v>2.6666666666666665</v>
      </c>
      <c r="CM535" s="47">
        <v>3.0</v>
      </c>
      <c r="CN535" s="47">
        <v>2.3333333333333335</v>
      </c>
      <c r="CO535" s="48">
        <v>4.695652173913044</v>
      </c>
      <c r="CP535" s="47">
        <f t="shared" ref="CP535:CQ535" si="248">(CA535*5)/6</f>
        <v>2.395833333</v>
      </c>
      <c r="CQ535" s="47">
        <f t="shared" si="248"/>
        <v>3</v>
      </c>
      <c r="CR535" s="47">
        <v>2.0</v>
      </c>
      <c r="CT535" s="8" t="s">
        <v>17</v>
      </c>
      <c r="CU535" s="24">
        <f t="shared" si="218"/>
        <v>50.66666667</v>
      </c>
      <c r="CV535" s="24">
        <f t="shared" si="219"/>
        <v>66.66666667</v>
      </c>
      <c r="CW535" s="24">
        <f t="shared" si="220"/>
        <v>36.66666667</v>
      </c>
      <c r="CX535" s="24">
        <f t="shared" si="221"/>
        <v>93.33333333</v>
      </c>
      <c r="DB535">
        <f t="shared" si="222"/>
        <v>38</v>
      </c>
      <c r="DC535">
        <f t="shared" si="223"/>
        <v>20</v>
      </c>
      <c r="DD535">
        <f t="shared" si="224"/>
        <v>11</v>
      </c>
      <c r="DE535">
        <f t="shared" si="225"/>
        <v>14</v>
      </c>
      <c r="DF535">
        <f t="shared" si="226"/>
        <v>83</v>
      </c>
      <c r="DG535">
        <f t="shared" si="227"/>
        <v>14</v>
      </c>
      <c r="DH535">
        <f t="shared" si="228"/>
        <v>8</v>
      </c>
      <c r="DI535">
        <f t="shared" si="229"/>
        <v>9</v>
      </c>
      <c r="DJ535">
        <f t="shared" si="230"/>
        <v>7</v>
      </c>
      <c r="DK535" s="50">
        <f t="shared" si="231"/>
        <v>112.6956522</v>
      </c>
      <c r="DL535">
        <f t="shared" si="232"/>
        <v>23</v>
      </c>
      <c r="DM535">
        <f t="shared" si="233"/>
        <v>18</v>
      </c>
      <c r="DN535">
        <f t="shared" si="234"/>
        <v>4</v>
      </c>
    </row>
    <row r="536">
      <c r="B536" s="8" t="s">
        <v>18</v>
      </c>
      <c r="C536" s="6">
        <v>4.0</v>
      </c>
      <c r="D536" s="6">
        <v>4.0</v>
      </c>
      <c r="E536" s="6">
        <v>4.0</v>
      </c>
      <c r="F536" s="6">
        <v>3.0</v>
      </c>
      <c r="G536" s="6">
        <v>0.0</v>
      </c>
      <c r="H536" s="6">
        <v>2.0</v>
      </c>
      <c r="I536" s="6">
        <v>5.0</v>
      </c>
      <c r="J536" s="6">
        <v>3.0</v>
      </c>
      <c r="K536" s="6">
        <v>0.0</v>
      </c>
      <c r="L536" s="6">
        <v>4.0</v>
      </c>
      <c r="M536" s="6">
        <v>5.0</v>
      </c>
      <c r="N536" s="6">
        <v>4.0</v>
      </c>
      <c r="O536" s="6">
        <v>5.0</v>
      </c>
      <c r="P536" s="6">
        <v>4.0</v>
      </c>
      <c r="Q536" s="6">
        <v>3.0</v>
      </c>
      <c r="R536" s="6">
        <v>1.0</v>
      </c>
      <c r="S536" s="6">
        <v>5.0</v>
      </c>
      <c r="T536" s="6">
        <v>3.0</v>
      </c>
      <c r="U536" s="6">
        <v>3.0</v>
      </c>
      <c r="V536" s="6">
        <v>0.0</v>
      </c>
      <c r="W536" s="6">
        <v>0.0</v>
      </c>
      <c r="X536" s="6">
        <v>4.0</v>
      </c>
      <c r="Y536" s="6">
        <v>0.0</v>
      </c>
      <c r="Z536" s="6">
        <v>0.0</v>
      </c>
      <c r="AA536" s="6">
        <v>2.0</v>
      </c>
      <c r="AB536" s="6">
        <v>0.0</v>
      </c>
      <c r="AC536" s="6">
        <v>0.0</v>
      </c>
      <c r="AD536" s="6">
        <v>2.0</v>
      </c>
      <c r="AE536" s="6">
        <v>4.0</v>
      </c>
      <c r="AF536" s="6">
        <v>4.0</v>
      </c>
      <c r="AI536" s="53">
        <v>72.0</v>
      </c>
      <c r="AJ536" s="51" t="s">
        <v>209</v>
      </c>
      <c r="AK536" s="53">
        <v>42.0</v>
      </c>
      <c r="AL536" s="53">
        <v>84.0</v>
      </c>
      <c r="AM536" s="53">
        <v>96.0</v>
      </c>
      <c r="AN536" s="53">
        <v>24.0</v>
      </c>
      <c r="AO536" s="53">
        <v>12.0</v>
      </c>
      <c r="AP536" s="51" t="s">
        <v>217</v>
      </c>
      <c r="AQ536" s="53">
        <v>0.0</v>
      </c>
      <c r="AR536" s="53">
        <v>0.0</v>
      </c>
      <c r="AS536" s="53">
        <v>0.0</v>
      </c>
      <c r="AT536" s="53">
        <v>0.0</v>
      </c>
      <c r="AU536" s="51" t="s">
        <v>151</v>
      </c>
      <c r="AV536" s="53">
        <v>0.0</v>
      </c>
      <c r="BA536" s="32">
        <v>1.0</v>
      </c>
      <c r="BB536" s="32">
        <v>4.0</v>
      </c>
      <c r="BC536" s="32">
        <v>6.0</v>
      </c>
      <c r="BD536" s="32">
        <v>0.0</v>
      </c>
      <c r="BE536" s="32">
        <v>0.0</v>
      </c>
      <c r="BF536" s="32">
        <v>0.0</v>
      </c>
      <c r="BG536" s="32">
        <v>6.0</v>
      </c>
      <c r="BH536" s="32">
        <v>6.0</v>
      </c>
      <c r="BK536" s="32">
        <v>1.0</v>
      </c>
      <c r="BL536" s="32">
        <v>4.0</v>
      </c>
      <c r="BM536" s="32">
        <v>3.0</v>
      </c>
      <c r="BN536" s="32">
        <v>5.0</v>
      </c>
      <c r="BO536" s="32">
        <v>5.0</v>
      </c>
      <c r="BQ536" s="46">
        <f t="shared" si="204"/>
        <v>1.333333333</v>
      </c>
      <c r="BR536" s="46">
        <f t="shared" si="205"/>
        <v>3.333333333</v>
      </c>
      <c r="BS536" s="46">
        <f t="shared" si="206"/>
        <v>4.333333333</v>
      </c>
      <c r="BT536" s="46">
        <f t="shared" si="207"/>
        <v>4</v>
      </c>
      <c r="BU536" s="46">
        <f t="shared" si="208"/>
        <v>2.6</v>
      </c>
      <c r="BV536" s="47">
        <f t="shared" si="209"/>
        <v>1.166666667</v>
      </c>
      <c r="BW536" s="47">
        <f t="shared" si="210"/>
        <v>2.333333333</v>
      </c>
      <c r="BX536" s="47">
        <f t="shared" si="211"/>
        <v>1</v>
      </c>
      <c r="BY536" s="47">
        <f t="shared" si="212"/>
        <v>1</v>
      </c>
      <c r="BZ536" s="48">
        <f t="shared" si="213"/>
        <v>3</v>
      </c>
      <c r="CA536" s="47">
        <f t="shared" si="214"/>
        <v>2.875</v>
      </c>
      <c r="CB536" s="47">
        <f t="shared" si="215"/>
        <v>3.6</v>
      </c>
      <c r="CC536" s="47">
        <f t="shared" si="216"/>
        <v>2</v>
      </c>
      <c r="CF536" s="48">
        <v>1.3333333333333333</v>
      </c>
      <c r="CG536" s="48">
        <v>3.3333333333333335</v>
      </c>
      <c r="CH536" s="48">
        <v>4.333333333333333</v>
      </c>
      <c r="CI536" s="48">
        <v>4.0</v>
      </c>
      <c r="CJ536" s="48">
        <v>2.6</v>
      </c>
      <c r="CK536" s="47">
        <v>1.1666666666666667</v>
      </c>
      <c r="CL536" s="47">
        <v>2.3333333333333335</v>
      </c>
      <c r="CM536" s="47">
        <v>1.0</v>
      </c>
      <c r="CN536" s="47">
        <v>1.0</v>
      </c>
      <c r="CO536" s="48">
        <v>3.0</v>
      </c>
      <c r="CP536" s="47">
        <f t="shared" ref="CP536:CQ536" si="249">(CA536*5)/6</f>
        <v>2.395833333</v>
      </c>
      <c r="CQ536" s="47">
        <f t="shared" si="249"/>
        <v>3</v>
      </c>
      <c r="CR536" s="47">
        <v>2.0</v>
      </c>
      <c r="CT536" s="8" t="s">
        <v>18</v>
      </c>
      <c r="CU536" s="24">
        <f t="shared" si="218"/>
        <v>26.66666667</v>
      </c>
      <c r="CV536" s="24">
        <f t="shared" si="219"/>
        <v>66.66666667</v>
      </c>
      <c r="CW536" s="24">
        <f t="shared" si="220"/>
        <v>86.66666667</v>
      </c>
      <c r="CX536" s="24">
        <f t="shared" si="221"/>
        <v>80</v>
      </c>
      <c r="DB536">
        <f t="shared" si="222"/>
        <v>20</v>
      </c>
      <c r="DC536">
        <f t="shared" si="223"/>
        <v>20</v>
      </c>
      <c r="DD536">
        <f t="shared" si="224"/>
        <v>26</v>
      </c>
      <c r="DE536">
        <f t="shared" si="225"/>
        <v>12</v>
      </c>
      <c r="DF536">
        <f t="shared" si="226"/>
        <v>78</v>
      </c>
      <c r="DG536">
        <f t="shared" si="227"/>
        <v>7</v>
      </c>
      <c r="DH536">
        <f t="shared" si="228"/>
        <v>7</v>
      </c>
      <c r="DI536">
        <f t="shared" si="229"/>
        <v>3</v>
      </c>
      <c r="DJ536">
        <f t="shared" si="230"/>
        <v>3</v>
      </c>
      <c r="DK536" s="50">
        <f t="shared" si="231"/>
        <v>72</v>
      </c>
      <c r="DL536">
        <f t="shared" si="232"/>
        <v>23</v>
      </c>
      <c r="DM536">
        <f t="shared" si="233"/>
        <v>18</v>
      </c>
      <c r="DN536">
        <f t="shared" si="234"/>
        <v>4</v>
      </c>
    </row>
    <row r="537">
      <c r="B537" s="8" t="s">
        <v>19</v>
      </c>
      <c r="C537" s="6">
        <v>4.0</v>
      </c>
      <c r="D537" s="6">
        <v>5.0</v>
      </c>
      <c r="E537" s="6">
        <v>5.0</v>
      </c>
      <c r="F537" s="6">
        <v>4.0</v>
      </c>
      <c r="G537" s="6">
        <v>5.0</v>
      </c>
      <c r="H537" s="6">
        <v>4.0</v>
      </c>
      <c r="I537" s="6">
        <v>1.0</v>
      </c>
      <c r="J537" s="6">
        <v>3.0</v>
      </c>
      <c r="K537" s="6">
        <v>4.0</v>
      </c>
      <c r="L537" s="6">
        <v>5.0</v>
      </c>
      <c r="M537" s="6">
        <v>4.0</v>
      </c>
      <c r="N537" s="6">
        <v>4.0</v>
      </c>
      <c r="O537" s="6">
        <v>2.0</v>
      </c>
      <c r="P537" s="6">
        <v>4.0</v>
      </c>
      <c r="Q537" s="6">
        <v>3.0</v>
      </c>
      <c r="R537" s="6">
        <v>4.0</v>
      </c>
      <c r="S537" s="6">
        <v>5.0</v>
      </c>
      <c r="T537" s="6">
        <v>2.0</v>
      </c>
      <c r="U537" s="6">
        <v>4.0</v>
      </c>
      <c r="V537" s="6">
        <v>5.0</v>
      </c>
      <c r="W537" s="6">
        <v>3.0</v>
      </c>
      <c r="X537" s="6">
        <v>3.0</v>
      </c>
      <c r="Y537" s="6">
        <v>5.0</v>
      </c>
      <c r="Z537" s="6">
        <v>2.0</v>
      </c>
      <c r="AA537" s="6">
        <v>4.0</v>
      </c>
      <c r="AB537" s="6">
        <v>4.0</v>
      </c>
      <c r="AC537" s="6">
        <v>1.0</v>
      </c>
      <c r="AD537" s="6">
        <v>4.0</v>
      </c>
      <c r="AE537" s="6">
        <v>5.0</v>
      </c>
      <c r="AF537" s="6">
        <v>4.0</v>
      </c>
      <c r="AI537" s="53">
        <v>101.91780821917808</v>
      </c>
      <c r="AJ537" s="51" t="s">
        <v>209</v>
      </c>
      <c r="AK537" s="53">
        <v>115.06849315068493</v>
      </c>
      <c r="AL537" s="53">
        <v>118.35616438356165</v>
      </c>
      <c r="AM537" s="53">
        <v>110.13698630136986</v>
      </c>
      <c r="AN537" s="53">
        <v>3.287671232876712</v>
      </c>
      <c r="AO537" s="53">
        <v>1.643835616438356</v>
      </c>
      <c r="AP537" s="51" t="s">
        <v>214</v>
      </c>
      <c r="AQ537" s="53">
        <v>116.71232876712328</v>
      </c>
      <c r="AR537" s="53">
        <v>4.931506849315069</v>
      </c>
      <c r="AS537" s="53">
        <v>118.35616438356165</v>
      </c>
      <c r="AT537" s="53">
        <v>4.931506849315069</v>
      </c>
      <c r="AU537" s="51" t="s">
        <v>221</v>
      </c>
      <c r="AV537" s="53">
        <v>118.35616438356165</v>
      </c>
      <c r="BA537" s="32">
        <v>1.0</v>
      </c>
      <c r="BB537" s="32">
        <v>1.0</v>
      </c>
      <c r="BC537" s="32">
        <v>5.0</v>
      </c>
      <c r="BD537" s="32">
        <v>1.0</v>
      </c>
      <c r="BE537" s="32">
        <v>4.0</v>
      </c>
      <c r="BF537" s="32">
        <v>5.0</v>
      </c>
      <c r="BG537" s="32">
        <v>5.0</v>
      </c>
      <c r="BH537" s="32">
        <v>5.0</v>
      </c>
      <c r="BK537" s="32">
        <v>4.0</v>
      </c>
      <c r="BL537" s="32">
        <v>4.0</v>
      </c>
      <c r="BM537" s="32">
        <v>4.0</v>
      </c>
      <c r="BN537" s="32">
        <v>6.0</v>
      </c>
      <c r="BO537" s="32">
        <v>4.0</v>
      </c>
      <c r="BQ537" s="46">
        <f t="shared" si="204"/>
        <v>3.8</v>
      </c>
      <c r="BR537" s="46">
        <f t="shared" si="205"/>
        <v>3.666666667</v>
      </c>
      <c r="BS537" s="46">
        <f t="shared" si="206"/>
        <v>3</v>
      </c>
      <c r="BT537" s="46">
        <f t="shared" si="207"/>
        <v>5</v>
      </c>
      <c r="BU537" s="46">
        <f t="shared" si="208"/>
        <v>3.733333333</v>
      </c>
      <c r="BV537" s="47">
        <f t="shared" si="209"/>
        <v>4.333333333</v>
      </c>
      <c r="BW537" s="47">
        <f t="shared" si="210"/>
        <v>3.333333333</v>
      </c>
      <c r="BX537" s="47">
        <f t="shared" si="211"/>
        <v>4.333333333</v>
      </c>
      <c r="BY537" s="47">
        <f t="shared" si="212"/>
        <v>2.666666667</v>
      </c>
      <c r="BZ537" s="48">
        <f t="shared" si="213"/>
        <v>4.246575342</v>
      </c>
      <c r="CA537" s="47">
        <f t="shared" si="214"/>
        <v>3.375</v>
      </c>
      <c r="CB537" s="47">
        <f t="shared" si="215"/>
        <v>4.4</v>
      </c>
      <c r="CC537" s="47">
        <f t="shared" si="216"/>
        <v>3</v>
      </c>
      <c r="CF537" s="48">
        <v>3.8</v>
      </c>
      <c r="CG537" s="48">
        <v>3.6666666666666665</v>
      </c>
      <c r="CH537" s="48">
        <v>3.0</v>
      </c>
      <c r="CI537" s="48">
        <v>5.0</v>
      </c>
      <c r="CJ537" s="48">
        <v>3.7333333333333334</v>
      </c>
      <c r="CK537" s="47">
        <v>4.333333333333333</v>
      </c>
      <c r="CL537" s="47">
        <v>3.3333333333333335</v>
      </c>
      <c r="CM537" s="47">
        <v>4.333333333333333</v>
      </c>
      <c r="CN537" s="47">
        <v>2.6666666666666665</v>
      </c>
      <c r="CO537" s="48">
        <v>4.2465753424657535</v>
      </c>
      <c r="CP537" s="47">
        <f t="shared" ref="CP537:CQ537" si="250">(CA537*5)/6</f>
        <v>2.8125</v>
      </c>
      <c r="CQ537" s="47">
        <f t="shared" si="250"/>
        <v>3.666666667</v>
      </c>
      <c r="CR537" s="47">
        <v>3.0</v>
      </c>
      <c r="CT537" s="14" t="s">
        <v>19</v>
      </c>
      <c r="CU537" s="49">
        <f t="shared" si="218"/>
        <v>76</v>
      </c>
      <c r="CV537" s="49">
        <f t="shared" si="219"/>
        <v>73.33333333</v>
      </c>
      <c r="CW537" s="49">
        <f t="shared" si="220"/>
        <v>60</v>
      </c>
      <c r="CX537" s="49">
        <f t="shared" si="221"/>
        <v>100</v>
      </c>
      <c r="DB537">
        <f t="shared" si="222"/>
        <v>57</v>
      </c>
      <c r="DC537">
        <f t="shared" si="223"/>
        <v>22</v>
      </c>
      <c r="DD537">
        <f t="shared" si="224"/>
        <v>18</v>
      </c>
      <c r="DE537">
        <f t="shared" si="225"/>
        <v>15</v>
      </c>
      <c r="DF537">
        <f t="shared" si="226"/>
        <v>112</v>
      </c>
      <c r="DG537">
        <f t="shared" si="227"/>
        <v>26</v>
      </c>
      <c r="DH537">
        <f t="shared" si="228"/>
        <v>10</v>
      </c>
      <c r="DI537">
        <f t="shared" si="229"/>
        <v>13</v>
      </c>
      <c r="DJ537">
        <f t="shared" si="230"/>
        <v>8</v>
      </c>
      <c r="DK537" s="50">
        <f t="shared" si="231"/>
        <v>101.9178082</v>
      </c>
      <c r="DL537">
        <f t="shared" si="232"/>
        <v>27</v>
      </c>
      <c r="DM537">
        <f t="shared" si="233"/>
        <v>22</v>
      </c>
      <c r="DN537">
        <f t="shared" si="234"/>
        <v>6</v>
      </c>
    </row>
    <row r="538">
      <c r="B538" s="8" t="s">
        <v>20</v>
      </c>
      <c r="C538" s="6">
        <v>4.0</v>
      </c>
      <c r="D538" s="6">
        <v>4.0</v>
      </c>
      <c r="E538" s="6">
        <v>4.0</v>
      </c>
      <c r="F538" s="6">
        <v>4.0</v>
      </c>
      <c r="G538" s="6">
        <v>4.0</v>
      </c>
      <c r="H538" s="6">
        <v>4.0</v>
      </c>
      <c r="I538" s="6">
        <v>4.0</v>
      </c>
      <c r="J538" s="6">
        <v>3.0</v>
      </c>
      <c r="K538" s="6">
        <v>4.0</v>
      </c>
      <c r="L538" s="6">
        <v>4.0</v>
      </c>
      <c r="M538" s="6">
        <v>4.0</v>
      </c>
      <c r="N538" s="6">
        <v>3.0</v>
      </c>
      <c r="O538" s="6">
        <v>4.0</v>
      </c>
      <c r="P538" s="6">
        <v>3.0</v>
      </c>
      <c r="Q538" s="6">
        <v>4.0</v>
      </c>
      <c r="R538" s="6">
        <v>4.0</v>
      </c>
      <c r="S538" s="6">
        <v>5.0</v>
      </c>
      <c r="T538" s="6">
        <v>3.0</v>
      </c>
      <c r="U538" s="6">
        <v>4.0</v>
      </c>
      <c r="V538" s="6">
        <v>4.0</v>
      </c>
      <c r="W538" s="6">
        <v>3.0</v>
      </c>
      <c r="X538" s="6">
        <v>3.0</v>
      </c>
      <c r="Y538" s="6">
        <v>3.0</v>
      </c>
      <c r="Z538" s="6">
        <v>3.0</v>
      </c>
      <c r="AA538" s="6">
        <v>3.0</v>
      </c>
      <c r="AB538" s="6">
        <v>4.0</v>
      </c>
      <c r="AC538" s="6">
        <v>1.0</v>
      </c>
      <c r="AD538" s="6">
        <v>3.0</v>
      </c>
      <c r="AE538" s="6">
        <v>4.0</v>
      </c>
      <c r="AF538" s="6">
        <v>4.0</v>
      </c>
      <c r="AI538" s="44">
        <v>110.4</v>
      </c>
      <c r="AJ538" s="51" t="s">
        <v>216</v>
      </c>
      <c r="AK538" s="44">
        <v>0.0</v>
      </c>
      <c r="AL538" s="44">
        <v>0.0</v>
      </c>
      <c r="AM538" s="44">
        <v>91.2</v>
      </c>
      <c r="AN538" s="44">
        <v>11.2</v>
      </c>
      <c r="AO538" s="44">
        <v>4.8</v>
      </c>
      <c r="AP538" s="51" t="s">
        <v>215</v>
      </c>
      <c r="AQ538" s="44">
        <v>0.0</v>
      </c>
      <c r="AR538" s="44">
        <v>0.0</v>
      </c>
      <c r="AS538" s="44">
        <v>0.0</v>
      </c>
      <c r="AT538" s="44">
        <v>0.0</v>
      </c>
      <c r="AU538" s="51" t="s">
        <v>216</v>
      </c>
      <c r="AV538" s="44">
        <v>0.0</v>
      </c>
      <c r="BA538" s="32">
        <v>1.0</v>
      </c>
      <c r="BB538" s="32">
        <v>5.0</v>
      </c>
      <c r="BC538" s="32">
        <v>5.0</v>
      </c>
      <c r="BD538" s="32">
        <v>6.0</v>
      </c>
      <c r="BE538" s="32">
        <v>3.0</v>
      </c>
      <c r="BF538" s="32">
        <v>3.0</v>
      </c>
      <c r="BG538" s="32">
        <v>3.0</v>
      </c>
      <c r="BH538" s="32">
        <v>6.0</v>
      </c>
      <c r="BK538" s="32">
        <v>2.0</v>
      </c>
      <c r="BL538" s="32">
        <v>3.0</v>
      </c>
      <c r="BM538" s="32">
        <v>3.0</v>
      </c>
      <c r="BN538" s="32">
        <v>3.0</v>
      </c>
      <c r="BO538" s="32">
        <v>3.0</v>
      </c>
      <c r="BQ538" s="46">
        <f t="shared" si="204"/>
        <v>3.533333333</v>
      </c>
      <c r="BR538" s="46">
        <f t="shared" si="205"/>
        <v>3.333333333</v>
      </c>
      <c r="BS538" s="46">
        <f t="shared" si="206"/>
        <v>3.833333333</v>
      </c>
      <c r="BT538" s="46">
        <f t="shared" si="207"/>
        <v>4</v>
      </c>
      <c r="BU538" s="46">
        <f t="shared" si="208"/>
        <v>3.6</v>
      </c>
      <c r="BV538" s="47">
        <f t="shared" si="209"/>
        <v>3.666666667</v>
      </c>
      <c r="BW538" s="47">
        <f t="shared" si="210"/>
        <v>3.333333333</v>
      </c>
      <c r="BX538" s="47">
        <f t="shared" si="211"/>
        <v>3.666666667</v>
      </c>
      <c r="BY538" s="47">
        <f t="shared" si="212"/>
        <v>3.333333333</v>
      </c>
      <c r="BZ538" s="48">
        <f t="shared" si="213"/>
        <v>4.6</v>
      </c>
      <c r="CA538" s="47">
        <f t="shared" si="214"/>
        <v>4</v>
      </c>
      <c r="CB538" s="47">
        <f t="shared" si="215"/>
        <v>2.8</v>
      </c>
      <c r="CC538" s="47">
        <f t="shared" si="216"/>
        <v>2.5</v>
      </c>
      <c r="CF538" s="48">
        <v>3.533333333333333</v>
      </c>
      <c r="CG538" s="48">
        <v>3.3333333333333335</v>
      </c>
      <c r="CH538" s="48">
        <v>3.8333333333333335</v>
      </c>
      <c r="CI538" s="48">
        <v>4.0</v>
      </c>
      <c r="CJ538" s="48">
        <v>3.6</v>
      </c>
      <c r="CK538" s="47">
        <v>3.6666666666666665</v>
      </c>
      <c r="CL538" s="47">
        <v>3.3333333333333335</v>
      </c>
      <c r="CM538" s="47">
        <v>3.6666666666666665</v>
      </c>
      <c r="CN538" s="47">
        <v>3.3333333333333335</v>
      </c>
      <c r="CO538" s="48">
        <v>4.6</v>
      </c>
      <c r="CP538" s="47">
        <f t="shared" ref="CP538:CQ538" si="251">(CA538*5)/6</f>
        <v>3.333333333</v>
      </c>
      <c r="CQ538" s="47">
        <f t="shared" si="251"/>
        <v>2.333333333</v>
      </c>
      <c r="CR538" s="47">
        <v>2.5</v>
      </c>
      <c r="CT538" s="14" t="s">
        <v>20</v>
      </c>
      <c r="CU538" s="49">
        <f t="shared" si="218"/>
        <v>70.66666667</v>
      </c>
      <c r="CV538" s="49">
        <f t="shared" si="219"/>
        <v>66.66666667</v>
      </c>
      <c r="CW538" s="49">
        <f t="shared" si="220"/>
        <v>76.66666667</v>
      </c>
      <c r="CX538" s="49">
        <f t="shared" si="221"/>
        <v>80</v>
      </c>
      <c r="DB538">
        <f t="shared" si="222"/>
        <v>53</v>
      </c>
      <c r="DC538">
        <f t="shared" si="223"/>
        <v>20</v>
      </c>
      <c r="DD538">
        <f t="shared" si="224"/>
        <v>23</v>
      </c>
      <c r="DE538">
        <f t="shared" si="225"/>
        <v>12</v>
      </c>
      <c r="DF538">
        <f t="shared" si="226"/>
        <v>108</v>
      </c>
      <c r="DG538">
        <f t="shared" si="227"/>
        <v>22</v>
      </c>
      <c r="DH538">
        <f t="shared" si="228"/>
        <v>10</v>
      </c>
      <c r="DI538">
        <f t="shared" si="229"/>
        <v>11</v>
      </c>
      <c r="DJ538">
        <f t="shared" si="230"/>
        <v>10</v>
      </c>
      <c r="DK538" s="50">
        <f t="shared" si="231"/>
        <v>110.4</v>
      </c>
      <c r="DL538">
        <f t="shared" si="232"/>
        <v>32</v>
      </c>
      <c r="DM538">
        <f t="shared" si="233"/>
        <v>14</v>
      </c>
      <c r="DN538">
        <f t="shared" si="234"/>
        <v>5</v>
      </c>
    </row>
    <row r="539">
      <c r="B539" s="8" t="s">
        <v>21</v>
      </c>
      <c r="C539" s="6">
        <v>1.0</v>
      </c>
      <c r="D539" s="6">
        <v>4.0</v>
      </c>
      <c r="E539" s="6">
        <v>0.0</v>
      </c>
      <c r="F539" s="6">
        <v>0.0</v>
      </c>
      <c r="G539" s="6">
        <v>0.0</v>
      </c>
      <c r="H539" s="6">
        <v>2.0</v>
      </c>
      <c r="I539" s="6">
        <v>3.0</v>
      </c>
      <c r="J539" s="6">
        <v>2.0</v>
      </c>
      <c r="K539" s="6">
        <v>0.0</v>
      </c>
      <c r="L539" s="6">
        <v>2.0</v>
      </c>
      <c r="M539" s="6">
        <v>3.0</v>
      </c>
      <c r="N539" s="6">
        <v>3.0</v>
      </c>
      <c r="O539" s="6">
        <v>3.0</v>
      </c>
      <c r="P539" s="6">
        <v>0.0</v>
      </c>
      <c r="Q539" s="6">
        <v>2.0</v>
      </c>
      <c r="R539" s="6">
        <v>0.0</v>
      </c>
      <c r="S539" s="6">
        <v>3.0</v>
      </c>
      <c r="T539" s="6">
        <v>3.0</v>
      </c>
      <c r="U539" s="6">
        <v>4.0</v>
      </c>
      <c r="V539" s="6">
        <v>2.0</v>
      </c>
      <c r="W539" s="6">
        <v>2.0</v>
      </c>
      <c r="X539" s="6">
        <v>1.0</v>
      </c>
      <c r="Y539" s="6">
        <v>0.0</v>
      </c>
      <c r="Z539" s="6">
        <v>0.0</v>
      </c>
      <c r="AA539" s="6">
        <v>0.0</v>
      </c>
      <c r="AB539" s="6">
        <v>0.0</v>
      </c>
      <c r="AC539" s="6">
        <v>0.0</v>
      </c>
      <c r="AD539" s="6">
        <v>0.0</v>
      </c>
      <c r="AE539" s="6">
        <v>2.0</v>
      </c>
      <c r="AF539" s="6">
        <v>2.0</v>
      </c>
      <c r="AI539" s="44">
        <v>78.4</v>
      </c>
      <c r="AJ539" s="56" t="s">
        <v>209</v>
      </c>
      <c r="AK539" s="44">
        <v>78.4</v>
      </c>
      <c r="AL539" s="44">
        <v>80.0</v>
      </c>
      <c r="AM539" s="44">
        <v>0.0</v>
      </c>
      <c r="AN539" s="44">
        <v>0.0</v>
      </c>
      <c r="AO539" s="44">
        <v>0.0</v>
      </c>
      <c r="AP539" s="56" t="s">
        <v>215</v>
      </c>
      <c r="AQ539" s="44" t="s">
        <v>151</v>
      </c>
      <c r="AR539" s="44" t="s">
        <v>151</v>
      </c>
      <c r="AS539" s="44" t="s">
        <v>151</v>
      </c>
      <c r="AT539" s="44" t="s">
        <v>151</v>
      </c>
      <c r="AU539" s="56" t="s">
        <v>151</v>
      </c>
      <c r="AV539" s="44" t="s">
        <v>151</v>
      </c>
      <c r="BA539" s="32">
        <v>0.0</v>
      </c>
      <c r="BB539" s="32">
        <v>0.0</v>
      </c>
      <c r="BC539" s="32">
        <v>4.0</v>
      </c>
      <c r="BD539" s="32">
        <v>4.0</v>
      </c>
      <c r="BE539" s="32">
        <v>4.0</v>
      </c>
      <c r="BF539" s="32">
        <v>0.0</v>
      </c>
      <c r="BG539" s="32">
        <v>0.0</v>
      </c>
      <c r="BH539" s="32">
        <v>4.0</v>
      </c>
      <c r="BK539" s="32">
        <v>0.0</v>
      </c>
      <c r="BL539" s="32">
        <v>0.0</v>
      </c>
      <c r="BM539" s="32">
        <v>0.0</v>
      </c>
      <c r="BN539" s="32">
        <v>0.0</v>
      </c>
      <c r="BO539" s="32">
        <v>0.0</v>
      </c>
      <c r="BQ539" s="46">
        <f t="shared" si="204"/>
        <v>0.7333333333</v>
      </c>
      <c r="BR539" s="46">
        <f t="shared" si="205"/>
        <v>2.333333333</v>
      </c>
      <c r="BS539" s="46">
        <f t="shared" si="206"/>
        <v>2.5</v>
      </c>
      <c r="BT539" s="46">
        <f t="shared" si="207"/>
        <v>1.333333333</v>
      </c>
      <c r="BU539" s="46">
        <f t="shared" si="208"/>
        <v>1.466666667</v>
      </c>
      <c r="BV539" s="47">
        <f t="shared" si="209"/>
        <v>0.3333333333</v>
      </c>
      <c r="BW539" s="47">
        <f t="shared" si="210"/>
        <v>1.666666667</v>
      </c>
      <c r="BX539" s="47">
        <f t="shared" si="211"/>
        <v>0</v>
      </c>
      <c r="BY539" s="47">
        <f t="shared" si="212"/>
        <v>1.333333333</v>
      </c>
      <c r="BZ539" s="48">
        <f t="shared" si="213"/>
        <v>3.266666667</v>
      </c>
      <c r="CA539" s="47">
        <f t="shared" si="214"/>
        <v>2</v>
      </c>
      <c r="CB539" s="47">
        <f t="shared" si="215"/>
        <v>0</v>
      </c>
      <c r="CC539" s="47">
        <f t="shared" si="216"/>
        <v>2</v>
      </c>
      <c r="CF539" s="48">
        <v>0.7333333333333333</v>
      </c>
      <c r="CG539" s="48">
        <v>2.3333333333333335</v>
      </c>
      <c r="CH539" s="48">
        <v>2.5</v>
      </c>
      <c r="CI539" s="48">
        <v>1.3333333333333333</v>
      </c>
      <c r="CJ539" s="48">
        <v>1.4666666666666666</v>
      </c>
      <c r="CK539" s="47">
        <v>0.3333333333333333</v>
      </c>
      <c r="CL539" s="47">
        <v>1.6666666666666667</v>
      </c>
      <c r="CM539" s="47">
        <v>0.0</v>
      </c>
      <c r="CN539" s="47">
        <v>1.3333333333333333</v>
      </c>
      <c r="CO539" s="48">
        <v>3.2666666666666666</v>
      </c>
      <c r="CP539" s="47">
        <f t="shared" ref="CP539:CQ539" si="252">(CA539*5)/6</f>
        <v>1.666666667</v>
      </c>
      <c r="CQ539" s="47">
        <f t="shared" si="252"/>
        <v>0</v>
      </c>
      <c r="CR539" s="47">
        <v>2.0</v>
      </c>
      <c r="CT539" s="8" t="s">
        <v>21</v>
      </c>
      <c r="CU539" s="24">
        <f t="shared" si="218"/>
        <v>14.66666667</v>
      </c>
      <c r="CV539" s="24">
        <f t="shared" si="219"/>
        <v>46.66666667</v>
      </c>
      <c r="CW539" s="24">
        <f t="shared" si="220"/>
        <v>50</v>
      </c>
      <c r="CX539" s="24">
        <f t="shared" si="221"/>
        <v>26.66666667</v>
      </c>
      <c r="DB539">
        <f t="shared" si="222"/>
        <v>11</v>
      </c>
      <c r="DC539">
        <f t="shared" si="223"/>
        <v>14</v>
      </c>
      <c r="DD539">
        <f t="shared" si="224"/>
        <v>15</v>
      </c>
      <c r="DE539">
        <f t="shared" si="225"/>
        <v>4</v>
      </c>
      <c r="DF539">
        <f t="shared" si="226"/>
        <v>44</v>
      </c>
      <c r="DG539">
        <f t="shared" si="227"/>
        <v>2</v>
      </c>
      <c r="DH539">
        <f t="shared" si="228"/>
        <v>5</v>
      </c>
      <c r="DI539">
        <f t="shared" si="229"/>
        <v>0</v>
      </c>
      <c r="DJ539">
        <f t="shared" si="230"/>
        <v>4</v>
      </c>
      <c r="DK539" s="50">
        <f t="shared" si="231"/>
        <v>78.4</v>
      </c>
      <c r="DL539">
        <f t="shared" si="232"/>
        <v>16</v>
      </c>
      <c r="DM539">
        <f t="shared" si="233"/>
        <v>0</v>
      </c>
      <c r="DN539">
        <f t="shared" si="234"/>
        <v>4</v>
      </c>
    </row>
    <row r="540">
      <c r="B540" s="8" t="s">
        <v>22</v>
      </c>
      <c r="C540" s="6">
        <v>2.0</v>
      </c>
      <c r="D540" s="6">
        <v>2.0</v>
      </c>
      <c r="E540" s="6">
        <v>2.0</v>
      </c>
      <c r="F540" s="6">
        <v>1.0</v>
      </c>
      <c r="G540" s="6">
        <v>0.0</v>
      </c>
      <c r="H540" s="6">
        <v>1.0</v>
      </c>
      <c r="I540" s="6">
        <v>0.0</v>
      </c>
      <c r="J540" s="6">
        <v>3.0</v>
      </c>
      <c r="K540" s="6">
        <v>2.0</v>
      </c>
      <c r="L540" s="6">
        <v>2.0</v>
      </c>
      <c r="M540" s="6">
        <v>1.0</v>
      </c>
      <c r="N540" s="6">
        <v>3.0</v>
      </c>
      <c r="O540" s="6">
        <v>0.0</v>
      </c>
      <c r="P540" s="6">
        <v>2.0</v>
      </c>
      <c r="Q540" s="6">
        <v>3.0</v>
      </c>
      <c r="R540" s="6">
        <v>2.0</v>
      </c>
      <c r="S540" s="6">
        <v>0.0</v>
      </c>
      <c r="T540" s="6">
        <v>2.0</v>
      </c>
      <c r="U540" s="6">
        <v>2.0</v>
      </c>
      <c r="V540" s="6">
        <v>2.0</v>
      </c>
      <c r="W540" s="6">
        <v>0.0</v>
      </c>
      <c r="X540" s="6">
        <v>0.0</v>
      </c>
      <c r="Y540" s="6">
        <v>0.0</v>
      </c>
      <c r="Z540" s="6">
        <v>2.0</v>
      </c>
      <c r="AA540" s="6">
        <v>2.0</v>
      </c>
      <c r="AB540" s="6">
        <v>1.0</v>
      </c>
      <c r="AC540" s="6">
        <v>0.0</v>
      </c>
      <c r="AD540" s="6">
        <v>2.0</v>
      </c>
      <c r="AE540" s="6">
        <v>4.0</v>
      </c>
      <c r="AF540" s="6">
        <v>3.0</v>
      </c>
      <c r="AI540" s="44">
        <v>114.0</v>
      </c>
      <c r="AJ540" s="56" t="s">
        <v>218</v>
      </c>
      <c r="AK540" s="44" t="s">
        <v>151</v>
      </c>
      <c r="AL540" s="44" t="s">
        <v>151</v>
      </c>
      <c r="AM540" s="44" t="s">
        <v>151</v>
      </c>
      <c r="AN540" s="44">
        <v>73.5</v>
      </c>
      <c r="AO540" s="44" t="s">
        <v>151</v>
      </c>
      <c r="AP540" s="56" t="s">
        <v>151</v>
      </c>
      <c r="AQ540" s="44" t="s">
        <v>151</v>
      </c>
      <c r="AR540" s="44" t="s">
        <v>151</v>
      </c>
      <c r="AS540" s="44" t="s">
        <v>151</v>
      </c>
      <c r="AT540" s="44" t="s">
        <v>151</v>
      </c>
      <c r="AU540" s="56" t="s">
        <v>151</v>
      </c>
      <c r="AV540" s="44" t="s">
        <v>151</v>
      </c>
      <c r="BA540" s="32">
        <v>1.0</v>
      </c>
      <c r="BB540" s="32">
        <v>1.0</v>
      </c>
      <c r="BC540" s="32">
        <v>4.0</v>
      </c>
      <c r="BD540" s="32">
        <v>4.0</v>
      </c>
      <c r="BE540" s="32">
        <v>1.0</v>
      </c>
      <c r="BF540" s="32">
        <v>4.0</v>
      </c>
      <c r="BG540" s="32">
        <v>4.0</v>
      </c>
      <c r="BH540" s="32">
        <v>4.0</v>
      </c>
      <c r="BK540" s="32">
        <v>5.0</v>
      </c>
      <c r="BL540" s="32">
        <v>2.0</v>
      </c>
      <c r="BM540" s="32">
        <v>5.0</v>
      </c>
      <c r="BN540" s="32">
        <v>2.0</v>
      </c>
      <c r="BO540" s="32">
        <v>3.0</v>
      </c>
      <c r="BQ540" s="46">
        <f t="shared" si="204"/>
        <v>1.466666667</v>
      </c>
      <c r="BR540" s="46">
        <f t="shared" si="205"/>
        <v>1.833333333</v>
      </c>
      <c r="BS540" s="46">
        <f t="shared" si="206"/>
        <v>0.8333333333</v>
      </c>
      <c r="BT540" s="46">
        <f t="shared" si="207"/>
        <v>2.666666667</v>
      </c>
      <c r="BU540" s="46">
        <f t="shared" si="208"/>
        <v>1.533333333</v>
      </c>
      <c r="BV540" s="47">
        <f t="shared" si="209"/>
        <v>1.5</v>
      </c>
      <c r="BW540" s="47">
        <f t="shared" si="210"/>
        <v>1.666666667</v>
      </c>
      <c r="BX540" s="47">
        <f t="shared" si="211"/>
        <v>1</v>
      </c>
      <c r="BY540" s="47">
        <f t="shared" si="212"/>
        <v>1.666666667</v>
      </c>
      <c r="BZ540" s="48">
        <f t="shared" si="213"/>
        <v>4.75</v>
      </c>
      <c r="CA540" s="47">
        <f t="shared" si="214"/>
        <v>2.875</v>
      </c>
      <c r="CB540" s="47">
        <f t="shared" si="215"/>
        <v>3.4</v>
      </c>
      <c r="CC540" s="47">
        <f t="shared" si="216"/>
        <v>1</v>
      </c>
      <c r="CF540" s="48">
        <v>1.4666666666666666</v>
      </c>
      <c r="CG540" s="48">
        <v>1.8333333333333333</v>
      </c>
      <c r="CH540" s="48">
        <v>0.8333333333333334</v>
      </c>
      <c r="CI540" s="48">
        <v>2.6666666666666665</v>
      </c>
      <c r="CJ540" s="48">
        <v>1.5333333333333334</v>
      </c>
      <c r="CK540" s="47">
        <v>1.5</v>
      </c>
      <c r="CL540" s="47">
        <v>1.6666666666666667</v>
      </c>
      <c r="CM540" s="47">
        <v>1.0</v>
      </c>
      <c r="CN540" s="47">
        <v>1.6666666666666667</v>
      </c>
      <c r="CO540" s="48">
        <v>4.75</v>
      </c>
      <c r="CP540" s="47">
        <f t="shared" ref="CP540:CQ540" si="253">(CA540*5)/6</f>
        <v>2.395833333</v>
      </c>
      <c r="CQ540" s="47">
        <f t="shared" si="253"/>
        <v>2.833333333</v>
      </c>
      <c r="CR540" s="47">
        <v>1.0</v>
      </c>
      <c r="CT540" s="8" t="s">
        <v>22</v>
      </c>
      <c r="CU540" s="24">
        <f t="shared" si="218"/>
        <v>29.33333333</v>
      </c>
      <c r="CV540" s="24">
        <f t="shared" si="219"/>
        <v>36.66666667</v>
      </c>
      <c r="CW540" s="24">
        <f t="shared" si="220"/>
        <v>16.66666667</v>
      </c>
      <c r="CX540" s="24">
        <f t="shared" si="221"/>
        <v>53.33333333</v>
      </c>
      <c r="DB540">
        <f t="shared" si="222"/>
        <v>22</v>
      </c>
      <c r="DC540">
        <f t="shared" si="223"/>
        <v>11</v>
      </c>
      <c r="DD540">
        <f t="shared" si="224"/>
        <v>5</v>
      </c>
      <c r="DE540">
        <f t="shared" si="225"/>
        <v>8</v>
      </c>
      <c r="DF540">
        <f t="shared" si="226"/>
        <v>46</v>
      </c>
      <c r="DG540">
        <f t="shared" si="227"/>
        <v>9</v>
      </c>
      <c r="DH540">
        <f t="shared" si="228"/>
        <v>5</v>
      </c>
      <c r="DI540">
        <f t="shared" si="229"/>
        <v>3</v>
      </c>
      <c r="DJ540">
        <f t="shared" si="230"/>
        <v>5</v>
      </c>
      <c r="DK540" s="50">
        <f t="shared" si="231"/>
        <v>114</v>
      </c>
      <c r="DL540">
        <f t="shared" si="232"/>
        <v>23</v>
      </c>
      <c r="DM540">
        <f t="shared" si="233"/>
        <v>17</v>
      </c>
      <c r="DN540">
        <f t="shared" si="234"/>
        <v>2</v>
      </c>
    </row>
    <row r="541">
      <c r="B541" s="8" t="s">
        <v>23</v>
      </c>
      <c r="C541" s="6">
        <v>2.0</v>
      </c>
      <c r="D541" s="6">
        <v>5.0</v>
      </c>
      <c r="E541" s="6">
        <v>4.0</v>
      </c>
      <c r="F541" s="6">
        <v>2.0</v>
      </c>
      <c r="G541" s="6">
        <v>3.0</v>
      </c>
      <c r="H541" s="6">
        <v>0.0</v>
      </c>
      <c r="I541" s="6">
        <v>5.0</v>
      </c>
      <c r="J541" s="6">
        <v>0.0</v>
      </c>
      <c r="K541" s="6">
        <v>0.0</v>
      </c>
      <c r="L541" s="6">
        <v>3.0</v>
      </c>
      <c r="M541" s="6">
        <v>2.0</v>
      </c>
      <c r="N541" s="6">
        <v>0.0</v>
      </c>
      <c r="O541" s="6">
        <v>1.0</v>
      </c>
      <c r="P541" s="6">
        <v>3.0</v>
      </c>
      <c r="Q541" s="6">
        <v>2.0</v>
      </c>
      <c r="R541" s="6">
        <v>3.0</v>
      </c>
      <c r="S541" s="6">
        <v>3.0</v>
      </c>
      <c r="T541" s="6">
        <v>2.0</v>
      </c>
      <c r="U541" s="6">
        <v>5.0</v>
      </c>
      <c r="V541" s="6">
        <v>0.0</v>
      </c>
      <c r="W541" s="6">
        <v>0.0</v>
      </c>
      <c r="X541" s="6">
        <v>2.0</v>
      </c>
      <c r="Y541" s="6">
        <v>0.0</v>
      </c>
      <c r="Z541" s="6">
        <v>0.0</v>
      </c>
      <c r="AA541" s="6">
        <v>1.0</v>
      </c>
      <c r="AB541" s="6">
        <v>3.0</v>
      </c>
      <c r="AC541" s="6">
        <v>0.0</v>
      </c>
      <c r="AD541" s="6">
        <v>1.0</v>
      </c>
      <c r="AE541" s="6">
        <v>4.0</v>
      </c>
      <c r="AF541" s="6">
        <v>0.0</v>
      </c>
      <c r="AI541" s="44">
        <v>99.0</v>
      </c>
      <c r="AJ541" s="56" t="s">
        <v>209</v>
      </c>
      <c r="AK541" s="44" t="s">
        <v>151</v>
      </c>
      <c r="AL541" s="44">
        <v>115.5</v>
      </c>
      <c r="AM541" s="44">
        <v>112.5</v>
      </c>
      <c r="AN541" s="44" t="s">
        <v>151</v>
      </c>
      <c r="AO541" s="44" t="s">
        <v>151</v>
      </c>
      <c r="AP541" s="56" t="s">
        <v>215</v>
      </c>
      <c r="AQ541" s="44" t="s">
        <v>151</v>
      </c>
      <c r="AR541" s="44" t="s">
        <v>151</v>
      </c>
      <c r="AS541" s="44" t="s">
        <v>151</v>
      </c>
      <c r="AT541" s="44" t="s">
        <v>151</v>
      </c>
      <c r="AU541" s="56" t="s">
        <v>151</v>
      </c>
      <c r="AV541" s="44" t="s">
        <v>151</v>
      </c>
      <c r="BA541" s="32">
        <v>3.0</v>
      </c>
      <c r="BB541" s="32">
        <v>3.0</v>
      </c>
      <c r="BC541" s="32">
        <v>5.0</v>
      </c>
      <c r="BD541" s="32">
        <v>3.0</v>
      </c>
      <c r="BE541" s="32">
        <v>3.0</v>
      </c>
      <c r="BF541" s="32">
        <v>5.0</v>
      </c>
      <c r="BG541" s="32">
        <v>3.0</v>
      </c>
      <c r="BH541" s="32">
        <v>3.0</v>
      </c>
      <c r="BK541" s="32">
        <v>2.0</v>
      </c>
      <c r="BL541" s="32">
        <v>1.0</v>
      </c>
      <c r="BM541" s="32">
        <v>0.0</v>
      </c>
      <c r="BN541" s="32">
        <v>0.0</v>
      </c>
      <c r="BO541" s="32">
        <v>0.0</v>
      </c>
      <c r="BQ541" s="46">
        <f t="shared" si="204"/>
        <v>1.333333333</v>
      </c>
      <c r="BR541" s="46">
        <f t="shared" si="205"/>
        <v>1.333333333</v>
      </c>
      <c r="BS541" s="46">
        <f t="shared" si="206"/>
        <v>2.833333333</v>
      </c>
      <c r="BT541" s="46">
        <f t="shared" si="207"/>
        <v>3.666666667</v>
      </c>
      <c r="BU541" s="46">
        <f t="shared" si="208"/>
        <v>1.866666667</v>
      </c>
      <c r="BV541" s="47">
        <f t="shared" si="209"/>
        <v>2.166666667</v>
      </c>
      <c r="BW541" s="47">
        <f t="shared" si="210"/>
        <v>1</v>
      </c>
      <c r="BX541" s="47">
        <f t="shared" si="211"/>
        <v>0.6666666667</v>
      </c>
      <c r="BY541" s="47">
        <f t="shared" si="212"/>
        <v>0.6666666667</v>
      </c>
      <c r="BZ541" s="48">
        <f t="shared" si="213"/>
        <v>4.125</v>
      </c>
      <c r="CA541" s="47">
        <f t="shared" si="214"/>
        <v>3.5</v>
      </c>
      <c r="CB541" s="47">
        <f t="shared" si="215"/>
        <v>0.6</v>
      </c>
      <c r="CC541" s="47">
        <f t="shared" si="216"/>
        <v>2.5</v>
      </c>
      <c r="CF541" s="48">
        <v>1.3333333333333333</v>
      </c>
      <c r="CG541" s="48">
        <v>1.3333333333333333</v>
      </c>
      <c r="CH541" s="48">
        <v>2.8333333333333335</v>
      </c>
      <c r="CI541" s="48">
        <v>3.6666666666666665</v>
      </c>
      <c r="CJ541" s="48">
        <v>1.8666666666666667</v>
      </c>
      <c r="CK541" s="47">
        <v>2.1666666666666665</v>
      </c>
      <c r="CL541" s="47">
        <v>1.0</v>
      </c>
      <c r="CM541" s="47">
        <v>0.6666666666666666</v>
      </c>
      <c r="CN541" s="47">
        <v>0.6666666666666666</v>
      </c>
      <c r="CO541" s="48">
        <v>4.125</v>
      </c>
      <c r="CP541" s="47">
        <f t="shared" ref="CP541:CQ541" si="254">(CA541*5)/6</f>
        <v>2.916666667</v>
      </c>
      <c r="CQ541" s="47">
        <f t="shared" si="254"/>
        <v>0.5</v>
      </c>
      <c r="CR541" s="47">
        <v>2.5</v>
      </c>
      <c r="CT541" s="8" t="s">
        <v>23</v>
      </c>
      <c r="CU541" s="24">
        <f t="shared" si="218"/>
        <v>26.66666667</v>
      </c>
      <c r="CV541" s="24">
        <f t="shared" si="219"/>
        <v>26.66666667</v>
      </c>
      <c r="CW541" s="24">
        <f t="shared" si="220"/>
        <v>56.66666667</v>
      </c>
      <c r="CX541" s="24">
        <f t="shared" si="221"/>
        <v>73.33333333</v>
      </c>
      <c r="DB541">
        <f t="shared" si="222"/>
        <v>20</v>
      </c>
      <c r="DC541">
        <f t="shared" si="223"/>
        <v>8</v>
      </c>
      <c r="DD541">
        <f t="shared" si="224"/>
        <v>17</v>
      </c>
      <c r="DE541">
        <f t="shared" si="225"/>
        <v>11</v>
      </c>
      <c r="DF541">
        <f t="shared" si="226"/>
        <v>56</v>
      </c>
      <c r="DG541">
        <f t="shared" si="227"/>
        <v>13</v>
      </c>
      <c r="DH541">
        <f t="shared" si="228"/>
        <v>3</v>
      </c>
      <c r="DI541">
        <f t="shared" si="229"/>
        <v>2</v>
      </c>
      <c r="DJ541">
        <f t="shared" si="230"/>
        <v>2</v>
      </c>
      <c r="DK541" s="50">
        <f t="shared" si="231"/>
        <v>99</v>
      </c>
      <c r="DL541">
        <f t="shared" si="232"/>
        <v>28</v>
      </c>
      <c r="DM541">
        <f t="shared" si="233"/>
        <v>3</v>
      </c>
      <c r="DN541">
        <f t="shared" si="234"/>
        <v>5</v>
      </c>
    </row>
    <row r="542">
      <c r="B542" s="8" t="s">
        <v>24</v>
      </c>
      <c r="C542" s="6">
        <v>1.0</v>
      </c>
      <c r="D542" s="6">
        <v>2.0</v>
      </c>
      <c r="E542" s="6">
        <v>3.0</v>
      </c>
      <c r="F542" s="6">
        <v>0.0</v>
      </c>
      <c r="G542" s="6">
        <v>0.0</v>
      </c>
      <c r="H542" s="6">
        <v>0.0</v>
      </c>
      <c r="I542" s="6">
        <v>4.0</v>
      </c>
      <c r="J542" s="6">
        <v>2.0</v>
      </c>
      <c r="K542" s="6">
        <v>0.0</v>
      </c>
      <c r="L542" s="6">
        <v>4.0</v>
      </c>
      <c r="M542" s="6">
        <v>3.0</v>
      </c>
      <c r="N542" s="6">
        <v>2.0</v>
      </c>
      <c r="O542" s="6">
        <v>1.0</v>
      </c>
      <c r="P542" s="6">
        <v>0.0</v>
      </c>
      <c r="Q542" s="6">
        <v>0.0</v>
      </c>
      <c r="R542" s="6">
        <v>0.0</v>
      </c>
      <c r="S542" s="6">
        <v>0.0</v>
      </c>
      <c r="T542" s="6">
        <v>0.0</v>
      </c>
      <c r="U542" s="6">
        <v>4.0</v>
      </c>
      <c r="V542" s="6">
        <v>0.0</v>
      </c>
      <c r="W542" s="6">
        <v>0.0</v>
      </c>
      <c r="X542" s="6">
        <v>0.0</v>
      </c>
      <c r="Y542" s="6">
        <v>0.0</v>
      </c>
      <c r="Z542" s="6">
        <v>2.0</v>
      </c>
      <c r="AA542" s="6">
        <v>0.0</v>
      </c>
      <c r="AB542" s="6">
        <v>0.0</v>
      </c>
      <c r="AC542" s="6">
        <v>0.0</v>
      </c>
      <c r="AD542" s="6">
        <v>0.0</v>
      </c>
      <c r="AE542" s="6">
        <v>4.0</v>
      </c>
      <c r="AF542" s="6">
        <v>1.0</v>
      </c>
      <c r="AI542" s="44">
        <v>60.0</v>
      </c>
      <c r="AJ542" s="56" t="s">
        <v>214</v>
      </c>
      <c r="AK542" s="44">
        <v>85.5</v>
      </c>
      <c r="AL542" s="44" t="s">
        <v>151</v>
      </c>
      <c r="AM542" s="44">
        <v>99.0</v>
      </c>
      <c r="AN542" s="44" t="s">
        <v>151</v>
      </c>
      <c r="AO542" s="44" t="s">
        <v>151</v>
      </c>
      <c r="AP542" s="56" t="s">
        <v>217</v>
      </c>
      <c r="AQ542" s="44">
        <v>0.0</v>
      </c>
      <c r="AR542" s="44" t="s">
        <v>151</v>
      </c>
      <c r="AS542" s="44" t="s">
        <v>151</v>
      </c>
      <c r="AT542" s="44" t="s">
        <v>151</v>
      </c>
      <c r="AU542" s="56" t="s">
        <v>151</v>
      </c>
      <c r="AV542" s="44">
        <v>0.0</v>
      </c>
      <c r="BA542" s="32">
        <v>4.0</v>
      </c>
      <c r="BB542" s="32">
        <v>3.0</v>
      </c>
      <c r="BC542" s="32">
        <v>4.0</v>
      </c>
      <c r="BD542" s="32">
        <v>4.0</v>
      </c>
      <c r="BE542" s="32">
        <v>3.0</v>
      </c>
      <c r="BF542" s="32">
        <v>3.0</v>
      </c>
      <c r="BG542" s="32">
        <v>3.0</v>
      </c>
      <c r="BH542" s="32">
        <v>4.0</v>
      </c>
      <c r="BK542" s="32">
        <v>0.0</v>
      </c>
      <c r="BL542" s="32">
        <v>0.0</v>
      </c>
      <c r="BM542" s="32">
        <v>0.0</v>
      </c>
      <c r="BN542" s="32">
        <v>0.0</v>
      </c>
      <c r="BO542" s="32">
        <v>0.0</v>
      </c>
      <c r="BQ542" s="46">
        <f t="shared" si="204"/>
        <v>0.1333333333</v>
      </c>
      <c r="BR542" s="46">
        <f t="shared" si="205"/>
        <v>1.166666667</v>
      </c>
      <c r="BS542" s="46">
        <f t="shared" si="206"/>
        <v>2.166666667</v>
      </c>
      <c r="BT542" s="46">
        <f t="shared" si="207"/>
        <v>3.666666667</v>
      </c>
      <c r="BU542" s="46">
        <f t="shared" si="208"/>
        <v>1.1</v>
      </c>
      <c r="BV542" s="47">
        <f t="shared" si="209"/>
        <v>0</v>
      </c>
      <c r="BW542" s="47">
        <f t="shared" si="210"/>
        <v>0</v>
      </c>
      <c r="BX542" s="47">
        <f t="shared" si="211"/>
        <v>0</v>
      </c>
      <c r="BY542" s="47">
        <f t="shared" si="212"/>
        <v>0.6666666667</v>
      </c>
      <c r="BZ542" s="48">
        <f t="shared" si="213"/>
        <v>2.5</v>
      </c>
      <c r="CA542" s="47">
        <f t="shared" si="214"/>
        <v>3.5</v>
      </c>
      <c r="CB542" s="47">
        <f t="shared" si="215"/>
        <v>0</v>
      </c>
      <c r="CC542" s="47">
        <f t="shared" si="216"/>
        <v>1</v>
      </c>
      <c r="CF542" s="48">
        <v>0.13333333333333333</v>
      </c>
      <c r="CG542" s="48">
        <v>1.1666666666666667</v>
      </c>
      <c r="CH542" s="48">
        <v>2.1666666666666665</v>
      </c>
      <c r="CI542" s="48">
        <v>3.6666666666666665</v>
      </c>
      <c r="CJ542" s="48">
        <v>1.1</v>
      </c>
      <c r="CK542" s="47">
        <v>0.0</v>
      </c>
      <c r="CL542" s="47">
        <v>0.0</v>
      </c>
      <c r="CM542" s="47">
        <v>0.0</v>
      </c>
      <c r="CN542" s="47">
        <v>0.6666666666666666</v>
      </c>
      <c r="CO542" s="48">
        <v>2.5</v>
      </c>
      <c r="CP542" s="47">
        <f t="shared" ref="CP542:CQ542" si="255">(CA542*5)/6</f>
        <v>2.916666667</v>
      </c>
      <c r="CQ542" s="47">
        <f t="shared" si="255"/>
        <v>0</v>
      </c>
      <c r="CR542" s="47">
        <v>1.0</v>
      </c>
      <c r="CT542" s="8" t="s">
        <v>24</v>
      </c>
      <c r="CU542" s="24">
        <f t="shared" si="218"/>
        <v>2.666666667</v>
      </c>
      <c r="CV542" s="24">
        <f t="shared" si="219"/>
        <v>23.33333333</v>
      </c>
      <c r="CW542" s="24">
        <f t="shared" si="220"/>
        <v>43.33333333</v>
      </c>
      <c r="CX542" s="24">
        <f t="shared" si="221"/>
        <v>73.33333333</v>
      </c>
      <c r="DB542">
        <f t="shared" si="222"/>
        <v>2</v>
      </c>
      <c r="DC542">
        <f t="shared" si="223"/>
        <v>7</v>
      </c>
      <c r="DD542">
        <f t="shared" si="224"/>
        <v>13</v>
      </c>
      <c r="DE542">
        <f t="shared" si="225"/>
        <v>11</v>
      </c>
      <c r="DF542">
        <f t="shared" si="226"/>
        <v>33</v>
      </c>
      <c r="DG542">
        <f t="shared" si="227"/>
        <v>0</v>
      </c>
      <c r="DH542">
        <f t="shared" si="228"/>
        <v>0</v>
      </c>
      <c r="DI542">
        <f t="shared" si="229"/>
        <v>0</v>
      </c>
      <c r="DJ542">
        <f t="shared" si="230"/>
        <v>2</v>
      </c>
      <c r="DK542" s="50">
        <f t="shared" si="231"/>
        <v>60</v>
      </c>
      <c r="DL542">
        <f t="shared" si="232"/>
        <v>28</v>
      </c>
      <c r="DM542">
        <f t="shared" si="233"/>
        <v>0</v>
      </c>
      <c r="DN542">
        <f t="shared" si="234"/>
        <v>2</v>
      </c>
    </row>
    <row r="543">
      <c r="B543" s="8" t="s">
        <v>25</v>
      </c>
      <c r="C543" s="6">
        <v>5.0</v>
      </c>
      <c r="D543" s="6">
        <v>4.0</v>
      </c>
      <c r="E543" s="6">
        <v>4.0</v>
      </c>
      <c r="F543" s="6">
        <v>2.0</v>
      </c>
      <c r="G543" s="6">
        <v>2.0</v>
      </c>
      <c r="H543" s="6">
        <v>1.0</v>
      </c>
      <c r="I543" s="6">
        <v>5.0</v>
      </c>
      <c r="J543" s="6">
        <v>1.0</v>
      </c>
      <c r="K543" s="6">
        <v>1.0</v>
      </c>
      <c r="L543" s="6">
        <v>5.0</v>
      </c>
      <c r="M543" s="6">
        <v>4.0</v>
      </c>
      <c r="N543" s="6">
        <v>4.0</v>
      </c>
      <c r="O543" s="6">
        <v>5.0</v>
      </c>
      <c r="P543" s="6">
        <v>3.0</v>
      </c>
      <c r="Q543" s="6">
        <v>2.0</v>
      </c>
      <c r="R543" s="6">
        <v>1.0</v>
      </c>
      <c r="S543" s="6">
        <v>4.0</v>
      </c>
      <c r="T543" s="6">
        <v>1.0</v>
      </c>
      <c r="U543" s="6">
        <v>5.0</v>
      </c>
      <c r="V543" s="6">
        <v>2.0</v>
      </c>
      <c r="W543" s="6">
        <v>1.0</v>
      </c>
      <c r="X543" s="6">
        <v>4.0</v>
      </c>
      <c r="Y543" s="6">
        <v>0.0</v>
      </c>
      <c r="Z543" s="6">
        <v>2.0</v>
      </c>
      <c r="AA543" s="6">
        <v>1.0</v>
      </c>
      <c r="AB543" s="6">
        <v>2.0</v>
      </c>
      <c r="AC543" s="6">
        <v>1.0</v>
      </c>
      <c r="AD543" s="6">
        <v>1.0</v>
      </c>
      <c r="AE543" s="6">
        <v>5.0</v>
      </c>
      <c r="AF543" s="6">
        <v>4.0</v>
      </c>
      <c r="AI543" s="44">
        <v>60.0</v>
      </c>
      <c r="AJ543" s="56" t="s">
        <v>210</v>
      </c>
      <c r="AK543" s="44">
        <v>87.0</v>
      </c>
      <c r="AL543" s="44">
        <v>99.0</v>
      </c>
      <c r="AM543" s="44">
        <v>115.5</v>
      </c>
      <c r="AN543" s="44" t="s">
        <v>151</v>
      </c>
      <c r="AO543" s="44" t="s">
        <v>151</v>
      </c>
      <c r="AP543" s="56" t="s">
        <v>222</v>
      </c>
      <c r="AQ543" s="44">
        <v>2.0</v>
      </c>
      <c r="AR543" s="44" t="s">
        <v>151</v>
      </c>
      <c r="AS543" s="44" t="s">
        <v>151</v>
      </c>
      <c r="AT543" s="44">
        <v>8.0</v>
      </c>
      <c r="AU543" s="56" t="s">
        <v>151</v>
      </c>
      <c r="AV543" s="44" t="s">
        <v>151</v>
      </c>
      <c r="BA543" s="32">
        <v>4.0</v>
      </c>
      <c r="BB543" s="32">
        <v>5.0</v>
      </c>
      <c r="BC543" s="32">
        <v>4.0</v>
      </c>
      <c r="BD543" s="32">
        <v>5.0</v>
      </c>
      <c r="BE543" s="32">
        <v>3.0</v>
      </c>
      <c r="BF543" s="32">
        <v>3.0</v>
      </c>
      <c r="BG543" s="32">
        <v>3.0</v>
      </c>
      <c r="BH543" s="32">
        <v>3.0</v>
      </c>
      <c r="BK543" s="32">
        <v>0.0</v>
      </c>
      <c r="BL543" s="32">
        <v>3.0</v>
      </c>
      <c r="BM543" s="32">
        <v>4.0</v>
      </c>
      <c r="BN543" s="32">
        <v>1.0</v>
      </c>
      <c r="BO543" s="32">
        <v>4.0</v>
      </c>
      <c r="BQ543" s="46">
        <f t="shared" si="204"/>
        <v>1.466666667</v>
      </c>
      <c r="BR543" s="46">
        <f t="shared" si="205"/>
        <v>3</v>
      </c>
      <c r="BS543" s="46">
        <f t="shared" si="206"/>
        <v>4.666666667</v>
      </c>
      <c r="BT543" s="46">
        <f t="shared" si="207"/>
        <v>4.666666667</v>
      </c>
      <c r="BU543" s="46">
        <f t="shared" si="208"/>
        <v>2.733333333</v>
      </c>
      <c r="BV543" s="47">
        <f t="shared" si="209"/>
        <v>1.833333333</v>
      </c>
      <c r="BW543" s="47">
        <f t="shared" si="210"/>
        <v>1</v>
      </c>
      <c r="BX543" s="47">
        <f t="shared" si="211"/>
        <v>1</v>
      </c>
      <c r="BY543" s="47">
        <f t="shared" si="212"/>
        <v>1.666666667</v>
      </c>
      <c r="BZ543" s="48">
        <f t="shared" si="213"/>
        <v>2.5</v>
      </c>
      <c r="CA543" s="47">
        <f t="shared" si="214"/>
        <v>3.75</v>
      </c>
      <c r="CB543" s="47">
        <f t="shared" si="215"/>
        <v>2.4</v>
      </c>
      <c r="CC543" s="47">
        <f t="shared" si="216"/>
        <v>2.5</v>
      </c>
      <c r="CF543" s="48">
        <v>1.4666666666666666</v>
      </c>
      <c r="CG543" s="48">
        <v>3.0</v>
      </c>
      <c r="CH543" s="48">
        <v>4.666666666666667</v>
      </c>
      <c r="CI543" s="48">
        <v>4.666666666666667</v>
      </c>
      <c r="CJ543" s="48">
        <v>2.7333333333333334</v>
      </c>
      <c r="CK543" s="47">
        <v>1.8333333333333333</v>
      </c>
      <c r="CL543" s="47">
        <v>1.0</v>
      </c>
      <c r="CM543" s="47">
        <v>1.0</v>
      </c>
      <c r="CN543" s="47">
        <v>1.6666666666666667</v>
      </c>
      <c r="CO543" s="48">
        <v>2.5</v>
      </c>
      <c r="CP543" s="47">
        <f t="shared" ref="CP543:CQ543" si="256">(CA543*5)/6</f>
        <v>3.125</v>
      </c>
      <c r="CQ543" s="47">
        <f t="shared" si="256"/>
        <v>2</v>
      </c>
      <c r="CR543" s="47">
        <v>2.5</v>
      </c>
      <c r="CT543" s="8" t="s">
        <v>25</v>
      </c>
      <c r="CU543" s="24">
        <f t="shared" si="218"/>
        <v>29.33333333</v>
      </c>
      <c r="CV543" s="24">
        <f t="shared" si="219"/>
        <v>60</v>
      </c>
      <c r="CW543" s="24">
        <f t="shared" si="220"/>
        <v>93.33333333</v>
      </c>
      <c r="CX543" s="24">
        <f t="shared" si="221"/>
        <v>93.33333333</v>
      </c>
      <c r="DB543">
        <f t="shared" si="222"/>
        <v>22</v>
      </c>
      <c r="DC543">
        <f t="shared" si="223"/>
        <v>18</v>
      </c>
      <c r="DD543">
        <f t="shared" si="224"/>
        <v>28</v>
      </c>
      <c r="DE543">
        <f t="shared" si="225"/>
        <v>14</v>
      </c>
      <c r="DF543">
        <f t="shared" si="226"/>
        <v>82</v>
      </c>
      <c r="DG543">
        <f t="shared" si="227"/>
        <v>11</v>
      </c>
      <c r="DH543">
        <f t="shared" si="228"/>
        <v>3</v>
      </c>
      <c r="DI543">
        <f t="shared" si="229"/>
        <v>3</v>
      </c>
      <c r="DJ543">
        <f t="shared" si="230"/>
        <v>5</v>
      </c>
      <c r="DK543" s="50">
        <f t="shared" si="231"/>
        <v>60</v>
      </c>
      <c r="DL543">
        <f t="shared" si="232"/>
        <v>30</v>
      </c>
      <c r="DM543">
        <f t="shared" si="233"/>
        <v>12</v>
      </c>
      <c r="DN543">
        <f t="shared" si="234"/>
        <v>5</v>
      </c>
    </row>
    <row r="544">
      <c r="B544" s="8" t="s">
        <v>26</v>
      </c>
      <c r="C544" s="6">
        <v>5.0</v>
      </c>
      <c r="D544" s="6">
        <v>2.0</v>
      </c>
      <c r="E544" s="6">
        <v>2.0</v>
      </c>
      <c r="F544" s="6">
        <v>4.0</v>
      </c>
      <c r="G544" s="6">
        <v>5.0</v>
      </c>
      <c r="H544" s="6">
        <v>4.0</v>
      </c>
      <c r="I544" s="6">
        <v>5.0</v>
      </c>
      <c r="J544" s="6">
        <v>4.0</v>
      </c>
      <c r="K544" s="6">
        <v>5.0</v>
      </c>
      <c r="L544" s="6">
        <v>1.0</v>
      </c>
      <c r="M544" s="6">
        <v>4.0</v>
      </c>
      <c r="N544" s="6">
        <v>5.0</v>
      </c>
      <c r="O544" s="6">
        <v>5.0</v>
      </c>
      <c r="P544" s="6">
        <v>5.0</v>
      </c>
      <c r="Q544" s="6">
        <v>4.0</v>
      </c>
      <c r="R544" s="6">
        <v>5.0</v>
      </c>
      <c r="S544" s="6">
        <v>3.0</v>
      </c>
      <c r="T544" s="6">
        <v>5.0</v>
      </c>
      <c r="U544" s="6">
        <v>5.0</v>
      </c>
      <c r="V544" s="6">
        <v>4.0</v>
      </c>
      <c r="W544" s="6">
        <v>0.0</v>
      </c>
      <c r="X544" s="6">
        <v>5.0</v>
      </c>
      <c r="Y544" s="6">
        <v>5.0</v>
      </c>
      <c r="Z544" s="6">
        <v>4.0</v>
      </c>
      <c r="AA544" s="6">
        <v>4.0</v>
      </c>
      <c r="AB544" s="6">
        <v>5.0</v>
      </c>
      <c r="AC544" s="6">
        <v>0.0</v>
      </c>
      <c r="AD544" s="6">
        <v>5.0</v>
      </c>
      <c r="AE544" s="6">
        <v>0.0</v>
      </c>
      <c r="AF544" s="6">
        <v>4.0</v>
      </c>
      <c r="AI544" s="44">
        <v>120.0</v>
      </c>
      <c r="AJ544" s="56" t="s">
        <v>209</v>
      </c>
      <c r="AK544" s="44">
        <v>120.0</v>
      </c>
      <c r="AL544" s="44">
        <v>120.0</v>
      </c>
      <c r="AM544" s="44">
        <v>120.0</v>
      </c>
      <c r="AN544" s="44">
        <v>0.0</v>
      </c>
      <c r="AO544" s="44">
        <v>0.0</v>
      </c>
      <c r="AP544" s="56" t="s">
        <v>215</v>
      </c>
      <c r="AQ544" s="44">
        <v>120.0</v>
      </c>
      <c r="AR544" s="44">
        <v>0.0</v>
      </c>
      <c r="AS544" s="44" t="s">
        <v>151</v>
      </c>
      <c r="AT544" s="44" t="s">
        <v>151</v>
      </c>
      <c r="AU544" s="56" t="s">
        <v>215</v>
      </c>
      <c r="AV544" s="44" t="s">
        <v>151</v>
      </c>
      <c r="BA544" s="32">
        <v>5.0</v>
      </c>
      <c r="BB544" s="32">
        <v>6.0</v>
      </c>
      <c r="BC544" s="32">
        <v>6.0</v>
      </c>
      <c r="BD544" s="32">
        <v>6.0</v>
      </c>
      <c r="BE544" s="32">
        <v>4.0</v>
      </c>
      <c r="BF544" s="32">
        <v>6.0</v>
      </c>
      <c r="BG544" s="32">
        <v>6.0</v>
      </c>
      <c r="BH544" s="32">
        <v>6.0</v>
      </c>
      <c r="BK544" s="32">
        <v>6.0</v>
      </c>
      <c r="BL544" s="32">
        <v>4.0</v>
      </c>
      <c r="BM544" s="32">
        <v>6.0</v>
      </c>
      <c r="BN544" s="32">
        <v>6.0</v>
      </c>
      <c r="BO544" s="32">
        <v>4.0</v>
      </c>
      <c r="BQ544" s="46">
        <f t="shared" si="204"/>
        <v>4.266666667</v>
      </c>
      <c r="BR544" s="46">
        <f t="shared" si="205"/>
        <v>3</v>
      </c>
      <c r="BS544" s="46">
        <f t="shared" si="206"/>
        <v>4.833333333</v>
      </c>
      <c r="BT544" s="46">
        <f t="shared" si="207"/>
        <v>1</v>
      </c>
      <c r="BU544" s="46">
        <f t="shared" si="208"/>
        <v>3.8</v>
      </c>
      <c r="BV544" s="47">
        <f t="shared" si="209"/>
        <v>4.833333333</v>
      </c>
      <c r="BW544" s="47">
        <f t="shared" si="210"/>
        <v>4.333333333</v>
      </c>
      <c r="BX544" s="47">
        <f t="shared" si="211"/>
        <v>4.666666667</v>
      </c>
      <c r="BY544" s="47">
        <f t="shared" si="212"/>
        <v>2.666666667</v>
      </c>
      <c r="BZ544" s="48">
        <f t="shared" si="213"/>
        <v>5</v>
      </c>
      <c r="CA544" s="47">
        <f t="shared" si="214"/>
        <v>5.625</v>
      </c>
      <c r="CB544" s="47">
        <f t="shared" si="215"/>
        <v>5.2</v>
      </c>
      <c r="CC544" s="47">
        <f t="shared" si="216"/>
        <v>1</v>
      </c>
      <c r="CF544" s="48">
        <v>4.266666666666667</v>
      </c>
      <c r="CG544" s="48">
        <v>3.0</v>
      </c>
      <c r="CH544" s="48">
        <v>4.833333333333333</v>
      </c>
      <c r="CI544" s="48">
        <v>1.0</v>
      </c>
      <c r="CJ544" s="48">
        <v>3.8</v>
      </c>
      <c r="CK544" s="47">
        <v>4.833333333333333</v>
      </c>
      <c r="CL544" s="47">
        <v>4.333333333333333</v>
      </c>
      <c r="CM544" s="47">
        <v>4.666666666666667</v>
      </c>
      <c r="CN544" s="47">
        <v>2.6666666666666665</v>
      </c>
      <c r="CO544" s="48">
        <v>5.0</v>
      </c>
      <c r="CP544" s="47">
        <f t="shared" ref="CP544:CQ544" si="257">(CA544*5)/6</f>
        <v>4.6875</v>
      </c>
      <c r="CQ544" s="47">
        <f t="shared" si="257"/>
        <v>4.333333333</v>
      </c>
      <c r="CR544" s="47">
        <v>1.0</v>
      </c>
      <c r="CT544" s="8" t="s">
        <v>26</v>
      </c>
      <c r="CU544" s="24">
        <f t="shared" si="218"/>
        <v>85.33333333</v>
      </c>
      <c r="CV544" s="24">
        <f t="shared" si="219"/>
        <v>60</v>
      </c>
      <c r="CW544" s="24">
        <f t="shared" si="220"/>
        <v>96.66666667</v>
      </c>
      <c r="CX544" s="24">
        <f t="shared" si="221"/>
        <v>20</v>
      </c>
      <c r="DB544">
        <f t="shared" si="222"/>
        <v>64</v>
      </c>
      <c r="DC544">
        <f t="shared" si="223"/>
        <v>18</v>
      </c>
      <c r="DD544">
        <f t="shared" si="224"/>
        <v>29</v>
      </c>
      <c r="DE544">
        <f t="shared" si="225"/>
        <v>3</v>
      </c>
      <c r="DF544">
        <f t="shared" si="226"/>
        <v>114</v>
      </c>
      <c r="DG544">
        <f t="shared" si="227"/>
        <v>29</v>
      </c>
      <c r="DH544">
        <f t="shared" si="228"/>
        <v>13</v>
      </c>
      <c r="DI544">
        <f t="shared" si="229"/>
        <v>14</v>
      </c>
      <c r="DJ544">
        <f t="shared" si="230"/>
        <v>8</v>
      </c>
      <c r="DK544" s="50">
        <f t="shared" si="231"/>
        <v>120</v>
      </c>
      <c r="DL544">
        <f t="shared" si="232"/>
        <v>45</v>
      </c>
      <c r="DM544">
        <f t="shared" si="233"/>
        <v>26</v>
      </c>
      <c r="DN544">
        <f t="shared" si="234"/>
        <v>2</v>
      </c>
    </row>
    <row r="545">
      <c r="B545" s="9" t="s">
        <v>27</v>
      </c>
      <c r="C545" s="6">
        <v>4.0</v>
      </c>
      <c r="D545" s="6">
        <v>4.0</v>
      </c>
      <c r="E545" s="6">
        <v>4.0</v>
      </c>
      <c r="F545" s="6">
        <v>3.0</v>
      </c>
      <c r="G545" s="6">
        <v>4.0</v>
      </c>
      <c r="H545" s="6">
        <v>4.0</v>
      </c>
      <c r="I545" s="6">
        <v>5.0</v>
      </c>
      <c r="J545" s="6">
        <v>4.0</v>
      </c>
      <c r="K545" s="6">
        <v>3.0</v>
      </c>
      <c r="L545" s="6">
        <v>4.0</v>
      </c>
      <c r="M545" s="6">
        <v>4.0</v>
      </c>
      <c r="N545" s="6">
        <v>4.0</v>
      </c>
      <c r="O545" s="6">
        <v>5.0</v>
      </c>
      <c r="P545" s="6">
        <v>5.0</v>
      </c>
      <c r="Q545" s="6">
        <v>4.0</v>
      </c>
      <c r="R545" s="6">
        <v>4.0</v>
      </c>
      <c r="S545" s="6">
        <v>4.0</v>
      </c>
      <c r="T545" s="6">
        <v>4.0</v>
      </c>
      <c r="U545" s="6">
        <v>4.0</v>
      </c>
      <c r="V545" s="6">
        <v>4.0</v>
      </c>
      <c r="W545" s="6">
        <v>4.0</v>
      </c>
      <c r="X545" s="6">
        <v>4.0</v>
      </c>
      <c r="Y545" s="6">
        <v>3.0</v>
      </c>
      <c r="Z545" s="6">
        <v>4.0</v>
      </c>
      <c r="AA545" s="6">
        <v>2.0</v>
      </c>
      <c r="AB545" s="6">
        <v>4.0</v>
      </c>
      <c r="AC545" s="6">
        <v>0.0</v>
      </c>
      <c r="AD545" s="6">
        <v>4.0</v>
      </c>
      <c r="AE545" s="6">
        <v>4.0</v>
      </c>
      <c r="AF545" s="6">
        <v>4.0</v>
      </c>
      <c r="AI545" s="44">
        <v>118.5</v>
      </c>
      <c r="AJ545" s="56" t="s">
        <v>214</v>
      </c>
      <c r="AK545" s="44">
        <v>115.5</v>
      </c>
      <c r="AL545" s="44" t="s">
        <v>151</v>
      </c>
      <c r="AM545" s="44">
        <v>118.5</v>
      </c>
      <c r="AN545" s="44">
        <v>117.0</v>
      </c>
      <c r="AO545" s="44">
        <v>1.5</v>
      </c>
      <c r="AP545" s="56" t="s">
        <v>223</v>
      </c>
      <c r="AQ545" s="44">
        <v>1.0</v>
      </c>
      <c r="AR545" s="44">
        <v>2.0</v>
      </c>
      <c r="AS545" s="44">
        <v>120.0</v>
      </c>
      <c r="AT545" s="44">
        <v>8.0</v>
      </c>
      <c r="AU545" s="56" t="s">
        <v>151</v>
      </c>
      <c r="AV545" s="44" t="s">
        <v>151</v>
      </c>
      <c r="BA545" s="32">
        <v>5.0</v>
      </c>
      <c r="BB545" s="32">
        <v>6.0</v>
      </c>
      <c r="BC545" s="32">
        <v>6.0</v>
      </c>
      <c r="BD545" s="32">
        <v>6.0</v>
      </c>
      <c r="BE545" s="32">
        <v>5.0</v>
      </c>
      <c r="BF545" s="32">
        <v>6.0</v>
      </c>
      <c r="BG545" s="32">
        <v>6.0</v>
      </c>
      <c r="BH545" s="32">
        <v>6.0</v>
      </c>
      <c r="BK545" s="32">
        <v>6.0</v>
      </c>
      <c r="BL545" s="32">
        <v>6.0</v>
      </c>
      <c r="BM545" s="32">
        <v>6.0</v>
      </c>
      <c r="BN545" s="32">
        <v>6.0</v>
      </c>
      <c r="BO545" s="32">
        <v>6.0</v>
      </c>
      <c r="BQ545" s="46">
        <f t="shared" si="204"/>
        <v>3.733333333</v>
      </c>
      <c r="BR545" s="46">
        <f t="shared" si="205"/>
        <v>3.333333333</v>
      </c>
      <c r="BS545" s="46">
        <f t="shared" si="206"/>
        <v>4.333333333</v>
      </c>
      <c r="BT545" s="46">
        <f t="shared" si="207"/>
        <v>4</v>
      </c>
      <c r="BU545" s="46">
        <f t="shared" si="208"/>
        <v>3.8</v>
      </c>
      <c r="BV545" s="47">
        <f t="shared" si="209"/>
        <v>4.166666667</v>
      </c>
      <c r="BW545" s="47">
        <f t="shared" si="210"/>
        <v>3.333333333</v>
      </c>
      <c r="BX545" s="47">
        <f t="shared" si="211"/>
        <v>3</v>
      </c>
      <c r="BY545" s="47">
        <f t="shared" si="212"/>
        <v>4</v>
      </c>
      <c r="BZ545" s="48">
        <f t="shared" si="213"/>
        <v>4.9375</v>
      </c>
      <c r="CA545" s="47">
        <f t="shared" si="214"/>
        <v>5.75</v>
      </c>
      <c r="CB545" s="47">
        <f t="shared" si="215"/>
        <v>6</v>
      </c>
      <c r="CC545" s="47">
        <f t="shared" si="216"/>
        <v>2</v>
      </c>
      <c r="CF545" s="48">
        <v>3.7333333333333334</v>
      </c>
      <c r="CG545" s="48">
        <v>3.3333333333333335</v>
      </c>
      <c r="CH545" s="48">
        <v>4.333333333333333</v>
      </c>
      <c r="CI545" s="48">
        <v>4.0</v>
      </c>
      <c r="CJ545" s="48">
        <v>3.8</v>
      </c>
      <c r="CK545" s="47">
        <v>4.166666666666667</v>
      </c>
      <c r="CL545" s="47">
        <v>3.3333333333333335</v>
      </c>
      <c r="CM545" s="47">
        <v>3.0</v>
      </c>
      <c r="CN545" s="47">
        <v>4.0</v>
      </c>
      <c r="CO545" s="48">
        <v>4.9375</v>
      </c>
      <c r="CP545" s="47">
        <f t="shared" ref="CP545:CQ545" si="258">(CA545*5)/6</f>
        <v>4.791666667</v>
      </c>
      <c r="CQ545" s="47">
        <f t="shared" si="258"/>
        <v>5</v>
      </c>
      <c r="CR545" s="47">
        <v>2.0</v>
      </c>
      <c r="CT545" s="18" t="s">
        <v>27</v>
      </c>
      <c r="CU545" s="49">
        <f t="shared" si="218"/>
        <v>74.66666667</v>
      </c>
      <c r="CV545" s="49">
        <f t="shared" si="219"/>
        <v>66.66666667</v>
      </c>
      <c r="CW545" s="49">
        <f t="shared" si="220"/>
        <v>86.66666667</v>
      </c>
      <c r="CX545" s="49">
        <f t="shared" si="221"/>
        <v>80</v>
      </c>
      <c r="DB545">
        <f t="shared" si="222"/>
        <v>56</v>
      </c>
      <c r="DC545">
        <f t="shared" si="223"/>
        <v>20</v>
      </c>
      <c r="DD545">
        <f t="shared" si="224"/>
        <v>26</v>
      </c>
      <c r="DE545">
        <f t="shared" si="225"/>
        <v>12</v>
      </c>
      <c r="DF545">
        <f t="shared" si="226"/>
        <v>114</v>
      </c>
      <c r="DG545">
        <f t="shared" si="227"/>
        <v>25</v>
      </c>
      <c r="DH545">
        <f t="shared" si="228"/>
        <v>10</v>
      </c>
      <c r="DI545">
        <f t="shared" si="229"/>
        <v>9</v>
      </c>
      <c r="DJ545">
        <f t="shared" si="230"/>
        <v>12</v>
      </c>
      <c r="DK545" s="50">
        <f t="shared" si="231"/>
        <v>118.5</v>
      </c>
      <c r="DL545">
        <f t="shared" si="232"/>
        <v>46</v>
      </c>
      <c r="DM545">
        <f t="shared" si="233"/>
        <v>30</v>
      </c>
      <c r="DN545">
        <f t="shared" si="234"/>
        <v>4</v>
      </c>
    </row>
    <row r="546">
      <c r="B546" s="9" t="s">
        <v>28</v>
      </c>
      <c r="C546" s="6">
        <v>5.0</v>
      </c>
      <c r="D546" s="6">
        <v>5.0</v>
      </c>
      <c r="E546" s="6">
        <v>4.0</v>
      </c>
      <c r="F546" s="6">
        <v>3.0</v>
      </c>
      <c r="G546" s="6">
        <v>4.0</v>
      </c>
      <c r="H546" s="6">
        <v>5.0</v>
      </c>
      <c r="I546" s="6">
        <v>5.0</v>
      </c>
      <c r="J546" s="6">
        <v>4.0</v>
      </c>
      <c r="K546" s="6">
        <v>2.0</v>
      </c>
      <c r="L546" s="6">
        <v>5.0</v>
      </c>
      <c r="M546" s="6">
        <v>5.0</v>
      </c>
      <c r="N546" s="6">
        <v>4.0</v>
      </c>
      <c r="O546" s="6">
        <v>5.0</v>
      </c>
      <c r="P546" s="6">
        <v>5.0</v>
      </c>
      <c r="Q546" s="6">
        <v>4.0</v>
      </c>
      <c r="R546" s="6">
        <v>4.0</v>
      </c>
      <c r="S546" s="6">
        <v>5.0</v>
      </c>
      <c r="T546" s="6">
        <v>5.0</v>
      </c>
      <c r="U546" s="6">
        <v>5.0</v>
      </c>
      <c r="V546" s="6">
        <v>5.0</v>
      </c>
      <c r="W546" s="6">
        <v>5.0</v>
      </c>
      <c r="X546" s="6">
        <v>5.0</v>
      </c>
      <c r="Y546" s="6">
        <v>4.0</v>
      </c>
      <c r="Z546" s="6">
        <v>4.0</v>
      </c>
      <c r="AA546" s="6">
        <v>5.0</v>
      </c>
      <c r="AB546" s="6">
        <v>5.0</v>
      </c>
      <c r="AC546" s="6">
        <v>0.0</v>
      </c>
      <c r="AD546" s="6">
        <v>5.0</v>
      </c>
      <c r="AE546" s="6">
        <v>5.0</v>
      </c>
      <c r="AF546" s="6">
        <v>5.0</v>
      </c>
      <c r="AI546" s="44">
        <v>120.0</v>
      </c>
      <c r="AJ546" s="56" t="s">
        <v>214</v>
      </c>
      <c r="AK546" s="44">
        <v>120.0</v>
      </c>
      <c r="AL546" s="44" t="s">
        <v>151</v>
      </c>
      <c r="AM546" s="44">
        <v>120.0</v>
      </c>
      <c r="AN546" s="44">
        <v>0.0</v>
      </c>
      <c r="AO546" s="44">
        <v>0.0</v>
      </c>
      <c r="AP546" s="56" t="s">
        <v>224</v>
      </c>
      <c r="AQ546" s="44">
        <v>0.0</v>
      </c>
      <c r="AR546" s="44">
        <v>0.0</v>
      </c>
      <c r="AS546" s="44">
        <v>90.0</v>
      </c>
      <c r="AT546" s="44">
        <v>120.0</v>
      </c>
      <c r="AU546" s="56" t="s">
        <v>151</v>
      </c>
      <c r="AV546" s="44">
        <v>0.0</v>
      </c>
      <c r="BA546" s="32">
        <v>0.0</v>
      </c>
      <c r="BB546" s="32">
        <v>6.0</v>
      </c>
      <c r="BC546" s="32">
        <v>6.0</v>
      </c>
      <c r="BD546" s="32">
        <v>5.0</v>
      </c>
      <c r="BE546" s="32">
        <v>6.0</v>
      </c>
      <c r="BF546" s="32">
        <v>6.0</v>
      </c>
      <c r="BG546" s="32">
        <v>6.0</v>
      </c>
      <c r="BH546" s="32">
        <v>6.0</v>
      </c>
      <c r="BK546" s="32">
        <v>6.0</v>
      </c>
      <c r="BL546" s="32">
        <v>6.0</v>
      </c>
      <c r="BM546" s="32">
        <v>6.0</v>
      </c>
      <c r="BN546" s="32">
        <v>6.0</v>
      </c>
      <c r="BO546" s="32">
        <v>6.0</v>
      </c>
      <c r="BQ546" s="46">
        <f t="shared" si="204"/>
        <v>4.333333333</v>
      </c>
      <c r="BR546" s="46">
        <f t="shared" si="205"/>
        <v>3.833333333</v>
      </c>
      <c r="BS546" s="46">
        <f t="shared" si="206"/>
        <v>5</v>
      </c>
      <c r="BT546" s="46">
        <f t="shared" si="207"/>
        <v>4.666666667</v>
      </c>
      <c r="BU546" s="46">
        <f t="shared" si="208"/>
        <v>4.4</v>
      </c>
      <c r="BV546" s="47">
        <f t="shared" si="209"/>
        <v>4.666666667</v>
      </c>
      <c r="BW546" s="47">
        <f t="shared" si="210"/>
        <v>5</v>
      </c>
      <c r="BX546" s="47">
        <f t="shared" si="211"/>
        <v>3</v>
      </c>
      <c r="BY546" s="47">
        <f t="shared" si="212"/>
        <v>4.333333333</v>
      </c>
      <c r="BZ546" s="48">
        <f t="shared" si="213"/>
        <v>5</v>
      </c>
      <c r="CA546" s="47">
        <f t="shared" si="214"/>
        <v>5.125</v>
      </c>
      <c r="CB546" s="47">
        <f t="shared" si="215"/>
        <v>6</v>
      </c>
      <c r="CC546" s="47">
        <f t="shared" si="216"/>
        <v>2.5</v>
      </c>
      <c r="CF546" s="48">
        <v>4.333333333333333</v>
      </c>
      <c r="CG546" s="48">
        <v>3.8333333333333335</v>
      </c>
      <c r="CH546" s="48">
        <v>5.0</v>
      </c>
      <c r="CI546" s="48">
        <v>4.666666666666667</v>
      </c>
      <c r="CJ546" s="48">
        <v>4.4</v>
      </c>
      <c r="CK546" s="47">
        <v>4.666666666666667</v>
      </c>
      <c r="CL546" s="47">
        <v>5.0</v>
      </c>
      <c r="CM546" s="47">
        <v>3.0</v>
      </c>
      <c r="CN546" s="47">
        <v>4.333333333333333</v>
      </c>
      <c r="CO546" s="48">
        <v>5.0</v>
      </c>
      <c r="CP546" s="47">
        <f t="shared" ref="CP546:CQ546" si="259">(CA546*5)/6</f>
        <v>4.270833333</v>
      </c>
      <c r="CQ546" s="47">
        <f t="shared" si="259"/>
        <v>5</v>
      </c>
      <c r="CR546" s="47">
        <v>2.5</v>
      </c>
      <c r="CT546" s="18" t="s">
        <v>28</v>
      </c>
      <c r="CU546" s="49">
        <f t="shared" si="218"/>
        <v>86.66666667</v>
      </c>
      <c r="CV546" s="49">
        <f t="shared" si="219"/>
        <v>76.66666667</v>
      </c>
      <c r="CW546" s="49">
        <f t="shared" si="220"/>
        <v>100</v>
      </c>
      <c r="CX546" s="49">
        <f t="shared" si="221"/>
        <v>93.33333333</v>
      </c>
      <c r="DB546">
        <f t="shared" si="222"/>
        <v>65</v>
      </c>
      <c r="DC546">
        <f t="shared" si="223"/>
        <v>23</v>
      </c>
      <c r="DD546">
        <f t="shared" si="224"/>
        <v>30</v>
      </c>
      <c r="DE546">
        <f t="shared" si="225"/>
        <v>14</v>
      </c>
      <c r="DF546">
        <f t="shared" si="226"/>
        <v>132</v>
      </c>
      <c r="DG546">
        <f t="shared" si="227"/>
        <v>28</v>
      </c>
      <c r="DH546">
        <f t="shared" si="228"/>
        <v>15</v>
      </c>
      <c r="DI546">
        <f t="shared" si="229"/>
        <v>9</v>
      </c>
      <c r="DJ546">
        <f t="shared" si="230"/>
        <v>13</v>
      </c>
      <c r="DK546" s="50">
        <f t="shared" si="231"/>
        <v>120</v>
      </c>
      <c r="DL546">
        <f t="shared" si="232"/>
        <v>41</v>
      </c>
      <c r="DM546">
        <f t="shared" si="233"/>
        <v>30</v>
      </c>
      <c r="DN546">
        <f t="shared" si="234"/>
        <v>5</v>
      </c>
    </row>
    <row r="547">
      <c r="B547" s="8" t="s">
        <v>29</v>
      </c>
      <c r="C547" s="6">
        <v>4.0</v>
      </c>
      <c r="D547" s="6">
        <v>4.0</v>
      </c>
      <c r="E547" s="6">
        <v>5.0</v>
      </c>
      <c r="F547" s="6">
        <v>4.0</v>
      </c>
      <c r="G547" s="6">
        <v>3.0</v>
      </c>
      <c r="H547" s="6">
        <v>2.0</v>
      </c>
      <c r="I547" s="6">
        <v>4.0</v>
      </c>
      <c r="J547" s="6">
        <v>4.0</v>
      </c>
      <c r="K547" s="6">
        <v>4.0</v>
      </c>
      <c r="L547" s="6">
        <v>5.0</v>
      </c>
      <c r="M547" s="6">
        <v>3.0</v>
      </c>
      <c r="N547" s="6">
        <v>4.0</v>
      </c>
      <c r="O547" s="6">
        <v>4.0</v>
      </c>
      <c r="P547" s="6">
        <v>5.0</v>
      </c>
      <c r="Q547" s="6">
        <v>4.0</v>
      </c>
      <c r="R547" s="6">
        <v>3.0</v>
      </c>
      <c r="S547" s="6">
        <v>3.0</v>
      </c>
      <c r="T547" s="6">
        <v>3.0</v>
      </c>
      <c r="U547" s="6">
        <v>4.0</v>
      </c>
      <c r="V547" s="6">
        <v>4.0</v>
      </c>
      <c r="W547" s="6">
        <v>2.0</v>
      </c>
      <c r="X547" s="6">
        <v>3.0</v>
      </c>
      <c r="Y547" s="6">
        <v>3.0</v>
      </c>
      <c r="Z547" s="6">
        <v>4.0</v>
      </c>
      <c r="AA547" s="6">
        <v>4.0</v>
      </c>
      <c r="AB547" s="6">
        <v>4.0</v>
      </c>
      <c r="AC547" s="6">
        <v>3.0</v>
      </c>
      <c r="AD547" s="6">
        <v>4.0</v>
      </c>
      <c r="AE547" s="6">
        <v>5.0</v>
      </c>
      <c r="AF547" s="6">
        <v>5.0</v>
      </c>
      <c r="AI547" s="44">
        <v>120.0</v>
      </c>
      <c r="AJ547" s="56" t="s">
        <v>214</v>
      </c>
      <c r="AK547" s="44">
        <v>105.0</v>
      </c>
      <c r="AL547" s="44" t="s">
        <v>151</v>
      </c>
      <c r="AM547" s="44">
        <v>60.0</v>
      </c>
      <c r="AN547" s="44">
        <v>0.0</v>
      </c>
      <c r="AO547" s="44">
        <v>66.0</v>
      </c>
      <c r="AP547" s="56" t="s">
        <v>223</v>
      </c>
      <c r="AQ547" s="44">
        <v>0.0</v>
      </c>
      <c r="AR547" s="44">
        <v>2.0</v>
      </c>
      <c r="AS547" s="44">
        <v>110.0</v>
      </c>
      <c r="AT547" s="44">
        <v>0.0</v>
      </c>
      <c r="AU547" s="56" t="s">
        <v>151</v>
      </c>
      <c r="AV547" s="44" t="s">
        <v>151</v>
      </c>
      <c r="BA547" s="32">
        <v>3.0</v>
      </c>
      <c r="BB547" s="32">
        <v>3.0</v>
      </c>
      <c r="BC547" s="32">
        <v>3.0</v>
      </c>
      <c r="BD547" s="32">
        <v>3.0</v>
      </c>
      <c r="BE547" s="32">
        <v>5.0</v>
      </c>
      <c r="BF547" s="32">
        <v>3.0</v>
      </c>
      <c r="BG547" s="32">
        <v>3.0</v>
      </c>
      <c r="BH547" s="32">
        <v>3.0</v>
      </c>
      <c r="BK547" s="32">
        <v>1.0</v>
      </c>
      <c r="BL547" s="32">
        <v>3.0</v>
      </c>
      <c r="BM547" s="32">
        <v>6.0</v>
      </c>
      <c r="BN547" s="32">
        <v>2.0</v>
      </c>
      <c r="BO547" s="32">
        <v>0.0</v>
      </c>
      <c r="BQ547" s="46">
        <f t="shared" si="204"/>
        <v>3.533333333</v>
      </c>
      <c r="BR547" s="46">
        <f t="shared" si="205"/>
        <v>3.833333333</v>
      </c>
      <c r="BS547" s="46">
        <f t="shared" si="206"/>
        <v>3.666666667</v>
      </c>
      <c r="BT547" s="46">
        <f t="shared" si="207"/>
        <v>5</v>
      </c>
      <c r="BU547" s="46">
        <f t="shared" si="208"/>
        <v>3.766666667</v>
      </c>
      <c r="BV547" s="47">
        <f t="shared" si="209"/>
        <v>3.833333333</v>
      </c>
      <c r="BW547" s="47">
        <f t="shared" si="210"/>
        <v>3</v>
      </c>
      <c r="BX547" s="47">
        <f t="shared" si="211"/>
        <v>3.666666667</v>
      </c>
      <c r="BY547" s="47">
        <f t="shared" si="212"/>
        <v>3.333333333</v>
      </c>
      <c r="BZ547" s="48">
        <f t="shared" si="213"/>
        <v>5</v>
      </c>
      <c r="CA547" s="47">
        <f t="shared" si="214"/>
        <v>3.25</v>
      </c>
      <c r="CB547" s="47">
        <f t="shared" si="215"/>
        <v>2.4</v>
      </c>
      <c r="CC547" s="47">
        <f t="shared" si="216"/>
        <v>3.5</v>
      </c>
      <c r="CF547" s="48">
        <v>3.533333333333333</v>
      </c>
      <c r="CG547" s="48">
        <v>3.8333333333333335</v>
      </c>
      <c r="CH547" s="48">
        <v>3.6666666666666665</v>
      </c>
      <c r="CI547" s="48">
        <v>5.0</v>
      </c>
      <c r="CJ547" s="48">
        <v>3.7666666666666666</v>
      </c>
      <c r="CK547" s="47">
        <v>3.8333333333333335</v>
      </c>
      <c r="CL547" s="47">
        <v>3.0</v>
      </c>
      <c r="CM547" s="47">
        <v>3.6666666666666665</v>
      </c>
      <c r="CN547" s="47">
        <v>3.3333333333333335</v>
      </c>
      <c r="CO547" s="48">
        <v>5.0</v>
      </c>
      <c r="CP547" s="47">
        <f t="shared" ref="CP547:CQ547" si="260">(CA547*5)/6</f>
        <v>2.708333333</v>
      </c>
      <c r="CQ547" s="47">
        <f t="shared" si="260"/>
        <v>2</v>
      </c>
      <c r="CR547" s="47">
        <v>3.5</v>
      </c>
      <c r="CT547" s="14" t="s">
        <v>29</v>
      </c>
      <c r="CU547" s="49">
        <f t="shared" si="218"/>
        <v>70.66666667</v>
      </c>
      <c r="CV547" s="49">
        <f t="shared" si="219"/>
        <v>76.66666667</v>
      </c>
      <c r="CW547" s="49">
        <f t="shared" si="220"/>
        <v>73.33333333</v>
      </c>
      <c r="CX547" s="49">
        <f t="shared" si="221"/>
        <v>100</v>
      </c>
      <c r="DB547">
        <f t="shared" si="222"/>
        <v>53</v>
      </c>
      <c r="DC547">
        <f t="shared" si="223"/>
        <v>23</v>
      </c>
      <c r="DD547">
        <f t="shared" si="224"/>
        <v>22</v>
      </c>
      <c r="DE547">
        <f t="shared" si="225"/>
        <v>15</v>
      </c>
      <c r="DF547">
        <f t="shared" si="226"/>
        <v>113</v>
      </c>
      <c r="DG547">
        <f t="shared" si="227"/>
        <v>23</v>
      </c>
      <c r="DH547">
        <f t="shared" si="228"/>
        <v>9</v>
      </c>
      <c r="DI547">
        <f t="shared" si="229"/>
        <v>11</v>
      </c>
      <c r="DJ547">
        <f t="shared" si="230"/>
        <v>10</v>
      </c>
      <c r="DK547" s="50">
        <f t="shared" si="231"/>
        <v>120</v>
      </c>
      <c r="DL547">
        <f t="shared" si="232"/>
        <v>26</v>
      </c>
      <c r="DM547">
        <f t="shared" si="233"/>
        <v>12</v>
      </c>
      <c r="DN547">
        <f t="shared" si="234"/>
        <v>7</v>
      </c>
    </row>
    <row r="548">
      <c r="B548" s="8" t="s">
        <v>30</v>
      </c>
      <c r="C548" s="6">
        <v>2.0</v>
      </c>
      <c r="D548" s="6">
        <v>4.0</v>
      </c>
      <c r="E548" s="6">
        <v>3.0</v>
      </c>
      <c r="F548" s="6">
        <v>2.0</v>
      </c>
      <c r="G548" s="6">
        <v>2.0</v>
      </c>
      <c r="H548" s="6">
        <v>3.0</v>
      </c>
      <c r="I548" s="6">
        <v>3.0</v>
      </c>
      <c r="J548" s="6">
        <v>3.0</v>
      </c>
      <c r="K548" s="6">
        <v>0.0</v>
      </c>
      <c r="L548" s="6">
        <v>0.0</v>
      </c>
      <c r="M548" s="6">
        <v>2.0</v>
      </c>
      <c r="N548" s="6">
        <v>4.0</v>
      </c>
      <c r="O548" s="6">
        <v>3.0</v>
      </c>
      <c r="P548" s="6">
        <v>1.0</v>
      </c>
      <c r="Q548" s="6">
        <v>2.0</v>
      </c>
      <c r="R548" s="6">
        <v>1.0</v>
      </c>
      <c r="S548" s="6">
        <v>4.0</v>
      </c>
      <c r="T548" s="6">
        <v>0.0</v>
      </c>
      <c r="U548" s="6">
        <v>1.0</v>
      </c>
      <c r="V548" s="6">
        <v>1.0</v>
      </c>
      <c r="W548" s="6">
        <v>0.0</v>
      </c>
      <c r="X548" s="6">
        <v>1.0</v>
      </c>
      <c r="Y548" s="6">
        <v>0.0</v>
      </c>
      <c r="Z548" s="6">
        <v>0.0</v>
      </c>
      <c r="AA548" s="6">
        <v>0.0</v>
      </c>
      <c r="AB548" s="6">
        <v>0.0</v>
      </c>
      <c r="AC548" s="6">
        <v>0.0</v>
      </c>
      <c r="AD548" s="6">
        <v>0.0</v>
      </c>
      <c r="AE548" s="6">
        <v>2.0</v>
      </c>
      <c r="AF548" s="6">
        <v>4.0</v>
      </c>
      <c r="AI548" s="44">
        <v>97.0</v>
      </c>
      <c r="AJ548" s="56" t="s">
        <v>209</v>
      </c>
      <c r="AK548" s="44" t="s">
        <v>151</v>
      </c>
      <c r="AL548" s="44">
        <v>104.0</v>
      </c>
      <c r="AM548" s="44">
        <v>100.0</v>
      </c>
      <c r="AN548" s="44" t="s">
        <v>151</v>
      </c>
      <c r="AO548" s="44" t="s">
        <v>151</v>
      </c>
      <c r="AP548" s="56" t="s">
        <v>215</v>
      </c>
      <c r="AQ548" s="44" t="s">
        <v>151</v>
      </c>
      <c r="AR548" s="44" t="s">
        <v>151</v>
      </c>
      <c r="AS548" s="44" t="s">
        <v>151</v>
      </c>
      <c r="AT548" s="44" t="s">
        <v>151</v>
      </c>
      <c r="AU548" s="56" t="s">
        <v>151</v>
      </c>
      <c r="AV548" s="44" t="s">
        <v>151</v>
      </c>
      <c r="BA548" s="32">
        <v>4.0</v>
      </c>
      <c r="BB548" s="32">
        <v>0.0</v>
      </c>
      <c r="BC548" s="32">
        <v>0.0</v>
      </c>
      <c r="BD548" s="32">
        <v>0.0</v>
      </c>
      <c r="BE548" s="32">
        <v>0.0</v>
      </c>
      <c r="BF548" s="32">
        <v>0.0</v>
      </c>
      <c r="BG548" s="32">
        <v>0.0</v>
      </c>
      <c r="BH548" s="32">
        <v>0.0</v>
      </c>
      <c r="BK548" s="32">
        <v>0.0</v>
      </c>
      <c r="BL548" s="32">
        <v>0.0</v>
      </c>
      <c r="BM548" s="32">
        <v>3.0</v>
      </c>
      <c r="BN548" s="32">
        <v>0.0</v>
      </c>
      <c r="BO548" s="32">
        <v>0.0</v>
      </c>
      <c r="BQ548" s="46">
        <f t="shared" si="204"/>
        <v>0.8</v>
      </c>
      <c r="BR548" s="46">
        <f t="shared" si="205"/>
        <v>3.166666667</v>
      </c>
      <c r="BS548" s="46">
        <f t="shared" si="206"/>
        <v>2</v>
      </c>
      <c r="BT548" s="46">
        <f t="shared" si="207"/>
        <v>1.666666667</v>
      </c>
      <c r="BU548" s="46">
        <f t="shared" si="208"/>
        <v>1.6</v>
      </c>
      <c r="BV548" s="47">
        <f t="shared" si="209"/>
        <v>0.8333333333</v>
      </c>
      <c r="BW548" s="47">
        <f t="shared" si="210"/>
        <v>1</v>
      </c>
      <c r="BX548" s="47">
        <f t="shared" si="211"/>
        <v>0.6666666667</v>
      </c>
      <c r="BY548" s="47">
        <f t="shared" si="212"/>
        <v>0.6666666667</v>
      </c>
      <c r="BZ548" s="48">
        <f t="shared" si="213"/>
        <v>4.041666667</v>
      </c>
      <c r="CA548" s="47">
        <f t="shared" si="214"/>
        <v>0.5</v>
      </c>
      <c r="CB548" s="47">
        <f t="shared" si="215"/>
        <v>0.6</v>
      </c>
      <c r="CC548" s="47">
        <f t="shared" si="216"/>
        <v>2</v>
      </c>
      <c r="CF548" s="48">
        <v>0.8</v>
      </c>
      <c r="CG548" s="48">
        <v>3.1666666666666665</v>
      </c>
      <c r="CH548" s="48">
        <v>2.0</v>
      </c>
      <c r="CI548" s="48">
        <v>1.6666666666666667</v>
      </c>
      <c r="CJ548" s="48">
        <v>1.6</v>
      </c>
      <c r="CK548" s="47">
        <v>0.8333333333333334</v>
      </c>
      <c r="CL548" s="47">
        <v>1.0</v>
      </c>
      <c r="CM548" s="47">
        <v>0.6666666666666666</v>
      </c>
      <c r="CN548" s="47">
        <v>0.6666666666666666</v>
      </c>
      <c r="CO548" s="48">
        <v>4.041666666666667</v>
      </c>
      <c r="CP548" s="47">
        <f t="shared" ref="CP548:CQ548" si="261">(CA548*5)/6</f>
        <v>0.4166666667</v>
      </c>
      <c r="CQ548" s="47">
        <f t="shared" si="261"/>
        <v>0.5</v>
      </c>
      <c r="CR548" s="47">
        <v>2.0</v>
      </c>
      <c r="CT548" s="8" t="s">
        <v>30</v>
      </c>
      <c r="CU548" s="24">
        <f t="shared" si="218"/>
        <v>16</v>
      </c>
      <c r="CV548" s="24">
        <f t="shared" si="219"/>
        <v>63.33333333</v>
      </c>
      <c r="CW548" s="24">
        <f t="shared" si="220"/>
        <v>40</v>
      </c>
      <c r="CX548" s="24">
        <f t="shared" si="221"/>
        <v>33.33333333</v>
      </c>
      <c r="DB548">
        <f t="shared" si="222"/>
        <v>12</v>
      </c>
      <c r="DC548">
        <f t="shared" si="223"/>
        <v>19</v>
      </c>
      <c r="DD548">
        <f t="shared" si="224"/>
        <v>12</v>
      </c>
      <c r="DE548">
        <f t="shared" si="225"/>
        <v>5</v>
      </c>
      <c r="DF548">
        <f t="shared" si="226"/>
        <v>48</v>
      </c>
      <c r="DG548">
        <f t="shared" si="227"/>
        <v>5</v>
      </c>
      <c r="DH548">
        <f t="shared" si="228"/>
        <v>3</v>
      </c>
      <c r="DI548">
        <f t="shared" si="229"/>
        <v>2</v>
      </c>
      <c r="DJ548">
        <f t="shared" si="230"/>
        <v>2</v>
      </c>
      <c r="DK548" s="50">
        <f t="shared" si="231"/>
        <v>97</v>
      </c>
      <c r="DL548">
        <f t="shared" si="232"/>
        <v>4</v>
      </c>
      <c r="DM548">
        <f t="shared" si="233"/>
        <v>3</v>
      </c>
      <c r="DN548">
        <f t="shared" si="234"/>
        <v>4</v>
      </c>
    </row>
    <row r="549">
      <c r="B549" s="8" t="s">
        <v>31</v>
      </c>
      <c r="C549" s="6">
        <v>4.0</v>
      </c>
      <c r="D549" s="6">
        <v>5.0</v>
      </c>
      <c r="E549" s="6">
        <v>4.0</v>
      </c>
      <c r="F549" s="6">
        <v>4.0</v>
      </c>
      <c r="G549" s="6">
        <v>4.0</v>
      </c>
      <c r="H549" s="6">
        <v>1.0</v>
      </c>
      <c r="I549" s="6">
        <v>3.0</v>
      </c>
      <c r="J549" s="6">
        <v>4.0</v>
      </c>
      <c r="K549" s="6">
        <v>2.0</v>
      </c>
      <c r="L549" s="6">
        <v>4.0</v>
      </c>
      <c r="M549" s="6">
        <v>4.0</v>
      </c>
      <c r="N549" s="6">
        <v>5.0</v>
      </c>
      <c r="O549" s="6">
        <v>3.0</v>
      </c>
      <c r="P549" s="6">
        <v>2.0</v>
      </c>
      <c r="Q549" s="6">
        <v>2.0</v>
      </c>
      <c r="R549" s="6">
        <v>3.0</v>
      </c>
      <c r="S549" s="6">
        <v>3.0</v>
      </c>
      <c r="T549" s="6">
        <v>3.0</v>
      </c>
      <c r="U549" s="6">
        <v>4.0</v>
      </c>
      <c r="V549" s="6">
        <v>3.0</v>
      </c>
      <c r="W549" s="6">
        <v>2.0</v>
      </c>
      <c r="X549" s="6">
        <v>2.0</v>
      </c>
      <c r="Y549" s="6">
        <v>1.0</v>
      </c>
      <c r="Z549" s="6">
        <v>4.0</v>
      </c>
      <c r="AA549" s="6">
        <v>3.0</v>
      </c>
      <c r="AB549" s="6">
        <v>4.0</v>
      </c>
      <c r="AC549" s="6">
        <v>0.0</v>
      </c>
      <c r="AD549" s="6">
        <v>2.0</v>
      </c>
      <c r="AE549" s="6">
        <v>4.0</v>
      </c>
      <c r="AF549" s="6">
        <v>4.0</v>
      </c>
      <c r="AI549" s="44">
        <f>AVERAGE(AI520:AI548,AI550:AI554)</f>
        <v>91.77686648</v>
      </c>
      <c r="AJ549" s="56" t="s">
        <v>220</v>
      </c>
      <c r="AK549" s="44">
        <v>107.0</v>
      </c>
      <c r="AL549" s="44">
        <v>112.0</v>
      </c>
      <c r="AM549" s="44">
        <v>96.0</v>
      </c>
      <c r="AN549" s="44">
        <v>22.0</v>
      </c>
      <c r="AO549" s="44">
        <v>0.0</v>
      </c>
      <c r="AP549" s="56" t="s">
        <v>215</v>
      </c>
      <c r="AQ549" s="44" t="s">
        <v>151</v>
      </c>
      <c r="AR549" s="44" t="s">
        <v>151</v>
      </c>
      <c r="AS549" s="44" t="s">
        <v>151</v>
      </c>
      <c r="AT549" s="44" t="s">
        <v>151</v>
      </c>
      <c r="AU549" s="56" t="s">
        <v>151</v>
      </c>
      <c r="AV549" s="44">
        <v>0.0</v>
      </c>
      <c r="BA549" s="32">
        <v>1.0</v>
      </c>
      <c r="BB549" s="32">
        <v>1.0</v>
      </c>
      <c r="BC549" s="32">
        <v>4.0</v>
      </c>
      <c r="BD549" s="32">
        <v>1.0</v>
      </c>
      <c r="BE549" s="32">
        <v>1.0</v>
      </c>
      <c r="BF549" s="32">
        <v>4.0</v>
      </c>
      <c r="BG549" s="32">
        <v>4.0</v>
      </c>
      <c r="BH549" s="32">
        <v>4.0</v>
      </c>
      <c r="BK549" s="32">
        <v>2.0</v>
      </c>
      <c r="BL549" s="32">
        <v>2.0</v>
      </c>
      <c r="BM549" s="32">
        <v>0.0</v>
      </c>
      <c r="BN549" s="32">
        <v>0.0</v>
      </c>
      <c r="BO549" s="32">
        <v>2.0</v>
      </c>
      <c r="BQ549" s="46">
        <f t="shared" si="204"/>
        <v>2.666666667</v>
      </c>
      <c r="BR549" s="46">
        <f t="shared" si="205"/>
        <v>3.5</v>
      </c>
      <c r="BS549" s="46">
        <f t="shared" si="206"/>
        <v>3.333333333</v>
      </c>
      <c r="BT549" s="46">
        <f t="shared" si="207"/>
        <v>4</v>
      </c>
      <c r="BU549" s="46">
        <f t="shared" si="208"/>
        <v>3.1</v>
      </c>
      <c r="BV549" s="47">
        <f t="shared" si="209"/>
        <v>3</v>
      </c>
      <c r="BW549" s="47">
        <f t="shared" si="210"/>
        <v>2.333333333</v>
      </c>
      <c r="BX549" s="47">
        <f t="shared" si="211"/>
        <v>2.333333333</v>
      </c>
      <c r="BY549" s="47">
        <f t="shared" si="212"/>
        <v>2.666666667</v>
      </c>
      <c r="BZ549" s="48">
        <f t="shared" si="213"/>
        <v>3.824036103</v>
      </c>
      <c r="CA549" s="47">
        <f t="shared" si="214"/>
        <v>2.5</v>
      </c>
      <c r="CB549" s="47">
        <f t="shared" si="215"/>
        <v>1.2</v>
      </c>
      <c r="CC549" s="47">
        <f t="shared" si="216"/>
        <v>2.5</v>
      </c>
      <c r="CF549" s="48">
        <v>2.6666666666666665</v>
      </c>
      <c r="CG549" s="48">
        <v>3.5</v>
      </c>
      <c r="CH549" s="48">
        <v>3.3333333333333335</v>
      </c>
      <c r="CI549" s="48">
        <v>4.0</v>
      </c>
      <c r="CJ549" s="48">
        <v>3.1</v>
      </c>
      <c r="CK549" s="47">
        <v>3.0</v>
      </c>
      <c r="CL549" s="47">
        <v>2.3333333333333335</v>
      </c>
      <c r="CM549" s="47">
        <v>2.3333333333333335</v>
      </c>
      <c r="CN549" s="47">
        <v>2.6666666666666665</v>
      </c>
      <c r="CO549" s="48">
        <v>3.8240361034229067</v>
      </c>
      <c r="CP549" s="47">
        <f t="shared" ref="CP549:CQ549" si="262">(CA549*5)/6</f>
        <v>2.083333333</v>
      </c>
      <c r="CQ549" s="47">
        <f t="shared" si="262"/>
        <v>1</v>
      </c>
      <c r="CR549" s="47">
        <v>2.5</v>
      </c>
      <c r="CT549" s="8" t="s">
        <v>31</v>
      </c>
      <c r="CU549" s="24">
        <f t="shared" si="218"/>
        <v>53.33333333</v>
      </c>
      <c r="CV549" s="24">
        <f t="shared" si="219"/>
        <v>70</v>
      </c>
      <c r="CW549" s="24">
        <f t="shared" si="220"/>
        <v>66.66666667</v>
      </c>
      <c r="CX549" s="24">
        <f t="shared" si="221"/>
        <v>80</v>
      </c>
      <c r="DB549">
        <f t="shared" si="222"/>
        <v>40</v>
      </c>
      <c r="DC549">
        <f t="shared" si="223"/>
        <v>21</v>
      </c>
      <c r="DD549">
        <f t="shared" si="224"/>
        <v>20</v>
      </c>
      <c r="DE549">
        <f t="shared" si="225"/>
        <v>12</v>
      </c>
      <c r="DF549">
        <f t="shared" si="226"/>
        <v>93</v>
      </c>
      <c r="DG549">
        <f t="shared" si="227"/>
        <v>18</v>
      </c>
      <c r="DH549">
        <f t="shared" si="228"/>
        <v>7</v>
      </c>
      <c r="DI549">
        <f t="shared" si="229"/>
        <v>7</v>
      </c>
      <c r="DJ549">
        <f t="shared" si="230"/>
        <v>8</v>
      </c>
      <c r="DK549" s="50">
        <f t="shared" si="231"/>
        <v>91.77686648</v>
      </c>
      <c r="DL549">
        <f t="shared" si="232"/>
        <v>20</v>
      </c>
      <c r="DM549">
        <f t="shared" si="233"/>
        <v>6</v>
      </c>
      <c r="DN549">
        <f t="shared" si="234"/>
        <v>5</v>
      </c>
    </row>
    <row r="550">
      <c r="B550" s="8" t="s">
        <v>32</v>
      </c>
      <c r="C550" s="6">
        <v>5.0</v>
      </c>
      <c r="D550" s="6">
        <v>4.0</v>
      </c>
      <c r="E550" s="6">
        <v>3.0</v>
      </c>
      <c r="F550" s="6">
        <v>4.0</v>
      </c>
      <c r="G550" s="6">
        <v>5.0</v>
      </c>
      <c r="H550" s="6">
        <v>5.0</v>
      </c>
      <c r="I550" s="6">
        <v>5.0</v>
      </c>
      <c r="J550" s="6">
        <v>2.0</v>
      </c>
      <c r="K550" s="6">
        <v>3.0</v>
      </c>
      <c r="L550" s="6">
        <v>2.0</v>
      </c>
      <c r="M550" s="6">
        <v>5.0</v>
      </c>
      <c r="N550" s="6">
        <v>4.0</v>
      </c>
      <c r="O550" s="6">
        <v>4.0</v>
      </c>
      <c r="P550" s="6">
        <v>3.0</v>
      </c>
      <c r="Q550" s="6">
        <v>4.0</v>
      </c>
      <c r="R550" s="6">
        <v>4.0</v>
      </c>
      <c r="S550" s="6">
        <v>3.0</v>
      </c>
      <c r="T550" s="6">
        <v>3.0</v>
      </c>
      <c r="U550" s="6">
        <v>4.0</v>
      </c>
      <c r="V550" s="6">
        <v>4.0</v>
      </c>
      <c r="W550" s="6">
        <v>3.0</v>
      </c>
      <c r="X550" s="6">
        <v>5.0</v>
      </c>
      <c r="Y550" s="6">
        <v>4.0</v>
      </c>
      <c r="Z550" s="6">
        <v>4.0</v>
      </c>
      <c r="AA550" s="6">
        <v>2.0</v>
      </c>
      <c r="AB550" s="6">
        <v>5.0</v>
      </c>
      <c r="AC550" s="6">
        <v>3.0</v>
      </c>
      <c r="AD550" s="6">
        <v>4.0</v>
      </c>
      <c r="AE550" s="6">
        <v>5.0</v>
      </c>
      <c r="AF550" s="6">
        <v>2.0</v>
      </c>
      <c r="AI550" s="44">
        <v>100.0</v>
      </c>
      <c r="AJ550" s="56" t="s">
        <v>225</v>
      </c>
      <c r="AK550" s="44" t="s">
        <v>151</v>
      </c>
      <c r="AL550" s="44">
        <v>111.0</v>
      </c>
      <c r="AM550" s="44">
        <v>106.0</v>
      </c>
      <c r="AN550" s="44">
        <v>17.0</v>
      </c>
      <c r="AO550" s="44">
        <v>78.0</v>
      </c>
      <c r="AP550" s="56" t="s">
        <v>215</v>
      </c>
      <c r="AQ550" s="44" t="s">
        <v>151</v>
      </c>
      <c r="AR550" s="44" t="s">
        <v>151</v>
      </c>
      <c r="AS550" s="44" t="s">
        <v>151</v>
      </c>
      <c r="AT550" s="44" t="s">
        <v>151</v>
      </c>
      <c r="AU550" s="56" t="s">
        <v>218</v>
      </c>
      <c r="AV550" s="44" t="s">
        <v>151</v>
      </c>
      <c r="BA550" s="32">
        <v>1.0</v>
      </c>
      <c r="BB550" s="32">
        <v>5.0</v>
      </c>
      <c r="BC550" s="32">
        <v>5.0</v>
      </c>
      <c r="BD550" s="32">
        <v>5.0</v>
      </c>
      <c r="BE550" s="32">
        <v>5.0</v>
      </c>
      <c r="BF550" s="32">
        <v>6.0</v>
      </c>
      <c r="BG550" s="32">
        <v>6.0</v>
      </c>
      <c r="BH550" s="32">
        <v>6.0</v>
      </c>
      <c r="BK550" s="32">
        <v>3.0</v>
      </c>
      <c r="BL550" s="32">
        <v>2.0</v>
      </c>
      <c r="BM550" s="32">
        <v>5.0</v>
      </c>
      <c r="BN550" s="32">
        <v>6.0</v>
      </c>
      <c r="BO550" s="32">
        <v>6.0</v>
      </c>
      <c r="BQ550" s="46">
        <f t="shared" si="204"/>
        <v>3.8</v>
      </c>
      <c r="BR550" s="46">
        <f t="shared" si="205"/>
        <v>3</v>
      </c>
      <c r="BS550" s="46">
        <f t="shared" si="206"/>
        <v>4.666666667</v>
      </c>
      <c r="BT550" s="46">
        <f t="shared" si="207"/>
        <v>3.333333333</v>
      </c>
      <c r="BU550" s="46">
        <f t="shared" si="208"/>
        <v>3.766666667</v>
      </c>
      <c r="BV550" s="47">
        <f t="shared" si="209"/>
        <v>4.166666667</v>
      </c>
      <c r="BW550" s="47">
        <f t="shared" si="210"/>
        <v>3.333333333</v>
      </c>
      <c r="BX550" s="47">
        <f t="shared" si="211"/>
        <v>3.666666667</v>
      </c>
      <c r="BY550" s="47">
        <f t="shared" si="212"/>
        <v>3.666666667</v>
      </c>
      <c r="BZ550" s="48">
        <f t="shared" si="213"/>
        <v>4.166666667</v>
      </c>
      <c r="CA550" s="47">
        <f t="shared" si="214"/>
        <v>4.875</v>
      </c>
      <c r="CB550" s="47">
        <f t="shared" si="215"/>
        <v>4.4</v>
      </c>
      <c r="CC550" s="47">
        <f t="shared" si="216"/>
        <v>3.5</v>
      </c>
      <c r="CF550" s="48">
        <v>3.8</v>
      </c>
      <c r="CG550" s="48">
        <v>3.0</v>
      </c>
      <c r="CH550" s="48">
        <v>4.666666666666667</v>
      </c>
      <c r="CI550" s="48">
        <v>3.3333333333333335</v>
      </c>
      <c r="CJ550" s="48">
        <v>3.7666666666666666</v>
      </c>
      <c r="CK550" s="47">
        <v>4.166666666666667</v>
      </c>
      <c r="CL550" s="47">
        <v>3.3333333333333335</v>
      </c>
      <c r="CM550" s="47">
        <v>3.6666666666666665</v>
      </c>
      <c r="CN550" s="47">
        <v>3.6666666666666665</v>
      </c>
      <c r="CO550" s="48">
        <v>4.166666666666667</v>
      </c>
      <c r="CP550" s="47">
        <f t="shared" ref="CP550:CQ550" si="263">(CA550*5)/6</f>
        <v>4.0625</v>
      </c>
      <c r="CQ550" s="47">
        <f t="shared" si="263"/>
        <v>3.666666667</v>
      </c>
      <c r="CR550" s="47">
        <v>3.5</v>
      </c>
      <c r="CT550" s="14" t="s">
        <v>32</v>
      </c>
      <c r="CU550" s="49">
        <f t="shared" si="218"/>
        <v>76</v>
      </c>
      <c r="CV550" s="49">
        <f t="shared" si="219"/>
        <v>60</v>
      </c>
      <c r="CW550" s="49">
        <f t="shared" si="220"/>
        <v>93.33333333</v>
      </c>
      <c r="CX550" s="49">
        <f t="shared" si="221"/>
        <v>66.66666667</v>
      </c>
      <c r="DB550">
        <f t="shared" si="222"/>
        <v>57</v>
      </c>
      <c r="DC550">
        <f t="shared" si="223"/>
        <v>18</v>
      </c>
      <c r="DD550">
        <f t="shared" si="224"/>
        <v>28</v>
      </c>
      <c r="DE550">
        <f t="shared" si="225"/>
        <v>10</v>
      </c>
      <c r="DF550">
        <f t="shared" si="226"/>
        <v>113</v>
      </c>
      <c r="DG550">
        <f t="shared" si="227"/>
        <v>25</v>
      </c>
      <c r="DH550">
        <f t="shared" si="228"/>
        <v>10</v>
      </c>
      <c r="DI550">
        <f t="shared" si="229"/>
        <v>11</v>
      </c>
      <c r="DJ550">
        <f t="shared" si="230"/>
        <v>11</v>
      </c>
      <c r="DK550" s="50">
        <f t="shared" si="231"/>
        <v>100</v>
      </c>
      <c r="DL550">
        <f t="shared" si="232"/>
        <v>39</v>
      </c>
      <c r="DM550">
        <f t="shared" si="233"/>
        <v>22</v>
      </c>
      <c r="DN550">
        <f t="shared" si="234"/>
        <v>7</v>
      </c>
    </row>
    <row r="551">
      <c r="B551" s="8" t="s">
        <v>33</v>
      </c>
      <c r="C551" s="6">
        <v>2.0</v>
      </c>
      <c r="D551" s="6">
        <v>2.0</v>
      </c>
      <c r="E551" s="6">
        <v>3.0</v>
      </c>
      <c r="F551" s="6">
        <v>2.0</v>
      </c>
      <c r="G551" s="6">
        <v>1.0</v>
      </c>
      <c r="H551" s="6">
        <v>1.0</v>
      </c>
      <c r="I551" s="6">
        <v>2.0</v>
      </c>
      <c r="J551" s="6">
        <v>3.0</v>
      </c>
      <c r="K551" s="6">
        <v>1.0</v>
      </c>
      <c r="L551" s="6">
        <v>4.0</v>
      </c>
      <c r="M551" s="6">
        <v>3.0</v>
      </c>
      <c r="N551" s="6">
        <v>2.0</v>
      </c>
      <c r="O551" s="6">
        <v>1.0</v>
      </c>
      <c r="P551" s="6">
        <v>2.0</v>
      </c>
      <c r="Q551" s="6">
        <v>2.0</v>
      </c>
      <c r="R551" s="6">
        <v>3.0</v>
      </c>
      <c r="S551" s="6">
        <v>1.0</v>
      </c>
      <c r="T551" s="6">
        <v>0.0</v>
      </c>
      <c r="U551" s="6">
        <v>2.0</v>
      </c>
      <c r="V551" s="6">
        <v>3.0</v>
      </c>
      <c r="W551" s="6">
        <v>1.0</v>
      </c>
      <c r="X551" s="6">
        <v>1.0</v>
      </c>
      <c r="Y551" s="6">
        <v>1.0</v>
      </c>
      <c r="Z551" s="6">
        <v>2.0</v>
      </c>
      <c r="AA551" s="6">
        <v>0.0</v>
      </c>
      <c r="AB551" s="6">
        <v>2.0</v>
      </c>
      <c r="AC551" s="6">
        <v>2.0</v>
      </c>
      <c r="AD551" s="6">
        <v>1.0</v>
      </c>
      <c r="AE551" s="6">
        <v>3.0</v>
      </c>
      <c r="AF551" s="6">
        <v>2.0</v>
      </c>
      <c r="AI551" s="44">
        <v>60.0</v>
      </c>
      <c r="AJ551" s="56" t="s">
        <v>212</v>
      </c>
      <c r="AK551" s="44">
        <v>120.0</v>
      </c>
      <c r="AL551" s="44" t="s">
        <v>151</v>
      </c>
      <c r="AM551" s="44">
        <v>69.0</v>
      </c>
      <c r="AN551" s="44">
        <v>27.0</v>
      </c>
      <c r="AO551" s="44" t="s">
        <v>151</v>
      </c>
      <c r="AP551" s="56" t="s">
        <v>215</v>
      </c>
      <c r="AQ551" s="44" t="s">
        <v>151</v>
      </c>
      <c r="AR551" s="44" t="s">
        <v>151</v>
      </c>
      <c r="AS551" s="44" t="s">
        <v>151</v>
      </c>
      <c r="AT551" s="44" t="s">
        <v>151</v>
      </c>
      <c r="AU551" s="56" t="s">
        <v>214</v>
      </c>
      <c r="AV551" s="44">
        <v>8.0</v>
      </c>
      <c r="BA551" s="32">
        <v>0.0</v>
      </c>
      <c r="BB551" s="32">
        <v>3.0</v>
      </c>
      <c r="BC551" s="32">
        <v>5.0</v>
      </c>
      <c r="BD551" s="32">
        <v>1.0</v>
      </c>
      <c r="BE551" s="32">
        <v>1.0</v>
      </c>
      <c r="BF551" s="32">
        <v>3.0</v>
      </c>
      <c r="BG551" s="32">
        <v>4.0</v>
      </c>
      <c r="BH551" s="32">
        <v>3.0</v>
      </c>
      <c r="BK551" s="32">
        <v>1.0</v>
      </c>
      <c r="BL551" s="32">
        <v>1.0</v>
      </c>
      <c r="BM551" s="32">
        <v>1.0</v>
      </c>
      <c r="BN551" s="32">
        <v>1.0</v>
      </c>
      <c r="BO551" s="32">
        <v>1.0</v>
      </c>
      <c r="BQ551" s="46">
        <f t="shared" si="204"/>
        <v>1.466666667</v>
      </c>
      <c r="BR551" s="46">
        <f t="shared" si="205"/>
        <v>2</v>
      </c>
      <c r="BS551" s="46">
        <f t="shared" si="206"/>
        <v>1.833333333</v>
      </c>
      <c r="BT551" s="46">
        <f t="shared" si="207"/>
        <v>3.333333333</v>
      </c>
      <c r="BU551" s="46">
        <f t="shared" si="208"/>
        <v>1.833333333</v>
      </c>
      <c r="BV551" s="47">
        <f t="shared" si="209"/>
        <v>2</v>
      </c>
      <c r="BW551" s="47">
        <f t="shared" si="210"/>
        <v>0.3333333333</v>
      </c>
      <c r="BX551" s="47">
        <f t="shared" si="211"/>
        <v>1.333333333</v>
      </c>
      <c r="BY551" s="47">
        <f t="shared" si="212"/>
        <v>1.666666667</v>
      </c>
      <c r="BZ551" s="48">
        <f t="shared" si="213"/>
        <v>2.5</v>
      </c>
      <c r="CA551" s="47">
        <f t="shared" si="214"/>
        <v>2.5</v>
      </c>
      <c r="CB551" s="47">
        <f t="shared" si="215"/>
        <v>1</v>
      </c>
      <c r="CC551" s="47">
        <f t="shared" si="216"/>
        <v>2</v>
      </c>
      <c r="CF551" s="48">
        <v>1.4666666666666666</v>
      </c>
      <c r="CG551" s="48">
        <v>2.0</v>
      </c>
      <c r="CH551" s="48">
        <v>1.8333333333333333</v>
      </c>
      <c r="CI551" s="48">
        <v>3.3333333333333335</v>
      </c>
      <c r="CJ551" s="48">
        <v>1.8333333333333333</v>
      </c>
      <c r="CK551" s="47">
        <v>2.0</v>
      </c>
      <c r="CL551" s="47">
        <v>0.3333333333333333</v>
      </c>
      <c r="CM551" s="47">
        <v>1.3333333333333333</v>
      </c>
      <c r="CN551" s="47">
        <v>1.6666666666666667</v>
      </c>
      <c r="CO551" s="48">
        <v>2.5</v>
      </c>
      <c r="CP551" s="47">
        <f t="shared" ref="CP551:CQ551" si="264">(CA551*5)/6</f>
        <v>2.083333333</v>
      </c>
      <c r="CQ551" s="47">
        <f t="shared" si="264"/>
        <v>0.8333333333</v>
      </c>
      <c r="CR551" s="47">
        <v>2.0</v>
      </c>
      <c r="CT551" s="8" t="s">
        <v>33</v>
      </c>
      <c r="CU551" s="24">
        <f t="shared" si="218"/>
        <v>29.33333333</v>
      </c>
      <c r="CV551" s="24">
        <f t="shared" si="219"/>
        <v>40</v>
      </c>
      <c r="CW551" s="24">
        <f t="shared" si="220"/>
        <v>36.66666667</v>
      </c>
      <c r="CX551" s="24">
        <f t="shared" si="221"/>
        <v>66.66666667</v>
      </c>
      <c r="DB551">
        <f t="shared" si="222"/>
        <v>22</v>
      </c>
      <c r="DC551">
        <f t="shared" si="223"/>
        <v>12</v>
      </c>
      <c r="DD551">
        <f t="shared" si="224"/>
        <v>11</v>
      </c>
      <c r="DE551">
        <f t="shared" si="225"/>
        <v>10</v>
      </c>
      <c r="DF551">
        <f t="shared" si="226"/>
        <v>55</v>
      </c>
      <c r="DG551">
        <f t="shared" si="227"/>
        <v>12</v>
      </c>
      <c r="DH551">
        <f t="shared" si="228"/>
        <v>1</v>
      </c>
      <c r="DI551">
        <f t="shared" si="229"/>
        <v>4</v>
      </c>
      <c r="DJ551">
        <f t="shared" si="230"/>
        <v>5</v>
      </c>
      <c r="DK551" s="50">
        <f t="shared" si="231"/>
        <v>60</v>
      </c>
      <c r="DL551">
        <f t="shared" si="232"/>
        <v>20</v>
      </c>
      <c r="DM551">
        <f t="shared" si="233"/>
        <v>5</v>
      </c>
      <c r="DN551">
        <f t="shared" si="234"/>
        <v>4</v>
      </c>
    </row>
    <row r="552">
      <c r="B552" s="8" t="s">
        <v>34</v>
      </c>
      <c r="C552" s="6">
        <v>0.0</v>
      </c>
      <c r="D552" s="6">
        <v>3.0</v>
      </c>
      <c r="E552" s="6">
        <v>3.0</v>
      </c>
      <c r="F552" s="6">
        <v>1.0</v>
      </c>
      <c r="G552" s="6">
        <v>0.0</v>
      </c>
      <c r="H552" s="6">
        <v>0.0</v>
      </c>
      <c r="I552" s="6">
        <v>1.0</v>
      </c>
      <c r="J552" s="6">
        <v>3.0</v>
      </c>
      <c r="K552" s="6">
        <v>0.0</v>
      </c>
      <c r="L552" s="6">
        <v>4.0</v>
      </c>
      <c r="M552" s="6">
        <v>2.0</v>
      </c>
      <c r="N552" s="6">
        <v>4.0</v>
      </c>
      <c r="O552" s="6">
        <v>0.0</v>
      </c>
      <c r="P552" s="6">
        <v>1.0</v>
      </c>
      <c r="Q552" s="6">
        <v>1.0</v>
      </c>
      <c r="R552" s="6">
        <v>1.0</v>
      </c>
      <c r="S552" s="6">
        <v>3.0</v>
      </c>
      <c r="T552" s="6">
        <v>1.0</v>
      </c>
      <c r="U552" s="6">
        <v>2.0</v>
      </c>
      <c r="V552" s="6">
        <v>0.0</v>
      </c>
      <c r="W552" s="6">
        <v>1.0</v>
      </c>
      <c r="X552" s="6">
        <v>0.0</v>
      </c>
      <c r="Y552" s="6">
        <v>0.0</v>
      </c>
      <c r="Z552" s="6">
        <v>2.0</v>
      </c>
      <c r="AA552" s="6">
        <v>0.0</v>
      </c>
      <c r="AB552" s="6">
        <v>0.0</v>
      </c>
      <c r="AC552" s="6">
        <v>0.0</v>
      </c>
      <c r="AD552" s="6">
        <v>0.0</v>
      </c>
      <c r="AE552" s="6">
        <v>3.0</v>
      </c>
      <c r="AF552" s="6">
        <v>4.0</v>
      </c>
      <c r="AI552" s="44">
        <v>82.5</v>
      </c>
      <c r="AJ552" s="56" t="s">
        <v>214</v>
      </c>
      <c r="AK552" s="44">
        <v>117.0</v>
      </c>
      <c r="AL552" s="44" t="s">
        <v>151</v>
      </c>
      <c r="AM552" s="44">
        <v>93.0</v>
      </c>
      <c r="AN552" s="44">
        <v>0.0</v>
      </c>
      <c r="AO552" s="44">
        <v>0.0</v>
      </c>
      <c r="AP552" s="56" t="s">
        <v>218</v>
      </c>
      <c r="AQ552" s="44">
        <v>0.0</v>
      </c>
      <c r="AR552" s="44">
        <v>0.0</v>
      </c>
      <c r="AS552" s="44">
        <v>0.0</v>
      </c>
      <c r="AT552" s="44">
        <v>0.0</v>
      </c>
      <c r="AU552" s="56" t="s">
        <v>217</v>
      </c>
      <c r="AV552" s="44">
        <v>0.0</v>
      </c>
      <c r="BA552" s="32">
        <v>4.0</v>
      </c>
      <c r="BB552" s="32">
        <v>5.0</v>
      </c>
      <c r="BC552" s="32">
        <v>5.0</v>
      </c>
      <c r="BD552" s="32">
        <v>5.0</v>
      </c>
      <c r="BE552" s="32">
        <v>3.0</v>
      </c>
      <c r="BF552" s="32">
        <v>3.0</v>
      </c>
      <c r="BG552" s="32">
        <v>3.0</v>
      </c>
      <c r="BH552" s="32">
        <v>3.0</v>
      </c>
      <c r="BK552" s="32">
        <v>2.0</v>
      </c>
      <c r="BL552" s="32">
        <v>2.0</v>
      </c>
      <c r="BM552" s="32">
        <v>1.0</v>
      </c>
      <c r="BN552" s="32">
        <v>3.0</v>
      </c>
      <c r="BO552" s="32">
        <v>2.0</v>
      </c>
      <c r="BQ552" s="46">
        <f t="shared" si="204"/>
        <v>0.5333333333</v>
      </c>
      <c r="BR552" s="46">
        <f t="shared" si="205"/>
        <v>2.833333333</v>
      </c>
      <c r="BS552" s="46">
        <f t="shared" si="206"/>
        <v>0.8333333333</v>
      </c>
      <c r="BT552" s="46">
        <f t="shared" si="207"/>
        <v>3.333333333</v>
      </c>
      <c r="BU552" s="46">
        <f t="shared" si="208"/>
        <v>1.333333333</v>
      </c>
      <c r="BV552" s="47">
        <f t="shared" si="209"/>
        <v>0.3333333333</v>
      </c>
      <c r="BW552" s="47">
        <f t="shared" si="210"/>
        <v>0.3333333333</v>
      </c>
      <c r="BX552" s="47">
        <f t="shared" si="211"/>
        <v>0.3333333333</v>
      </c>
      <c r="BY552" s="47">
        <f t="shared" si="212"/>
        <v>1.333333333</v>
      </c>
      <c r="BZ552" s="48">
        <f t="shared" si="213"/>
        <v>3.4375</v>
      </c>
      <c r="CA552" s="47">
        <f t="shared" si="214"/>
        <v>3.875</v>
      </c>
      <c r="CB552" s="47">
        <f t="shared" si="215"/>
        <v>2</v>
      </c>
      <c r="CC552" s="47">
        <f t="shared" si="216"/>
        <v>1.5</v>
      </c>
      <c r="CF552" s="48">
        <v>0.5333333333333333</v>
      </c>
      <c r="CG552" s="48">
        <v>2.8333333333333335</v>
      </c>
      <c r="CH552" s="48">
        <v>0.8333333333333334</v>
      </c>
      <c r="CI552" s="48">
        <v>3.3333333333333335</v>
      </c>
      <c r="CJ552" s="48">
        <v>1.3333333333333333</v>
      </c>
      <c r="CK552" s="47">
        <v>0.3333333333333333</v>
      </c>
      <c r="CL552" s="47">
        <v>0.3333333333333333</v>
      </c>
      <c r="CM552" s="47">
        <v>0.3333333333333333</v>
      </c>
      <c r="CN552" s="47">
        <v>1.3333333333333333</v>
      </c>
      <c r="CO552" s="48">
        <v>3.4375</v>
      </c>
      <c r="CP552" s="47">
        <f t="shared" ref="CP552:CQ552" si="265">(CA552*5)/6</f>
        <v>3.229166667</v>
      </c>
      <c r="CQ552" s="47">
        <f t="shared" si="265"/>
        <v>1.666666667</v>
      </c>
      <c r="CR552" s="47">
        <v>1.5</v>
      </c>
      <c r="CT552" s="8" t="s">
        <v>34</v>
      </c>
      <c r="CU552" s="24">
        <f t="shared" si="218"/>
        <v>10.66666667</v>
      </c>
      <c r="CV552" s="24">
        <f t="shared" si="219"/>
        <v>56.66666667</v>
      </c>
      <c r="CW552" s="24">
        <f t="shared" si="220"/>
        <v>16.66666667</v>
      </c>
      <c r="CX552" s="24">
        <f t="shared" si="221"/>
        <v>66.66666667</v>
      </c>
      <c r="DB552">
        <f t="shared" si="222"/>
        <v>8</v>
      </c>
      <c r="DC552">
        <f t="shared" si="223"/>
        <v>17</v>
      </c>
      <c r="DD552">
        <f t="shared" si="224"/>
        <v>5</v>
      </c>
      <c r="DE552">
        <f t="shared" si="225"/>
        <v>10</v>
      </c>
      <c r="DF552">
        <f t="shared" si="226"/>
        <v>40</v>
      </c>
      <c r="DG552">
        <f t="shared" si="227"/>
        <v>2</v>
      </c>
      <c r="DH552">
        <f t="shared" si="228"/>
        <v>1</v>
      </c>
      <c r="DI552">
        <f t="shared" si="229"/>
        <v>1</v>
      </c>
      <c r="DJ552">
        <f t="shared" si="230"/>
        <v>4</v>
      </c>
      <c r="DK552" s="50">
        <f t="shared" si="231"/>
        <v>82.5</v>
      </c>
      <c r="DL552">
        <f t="shared" si="232"/>
        <v>31</v>
      </c>
      <c r="DM552">
        <f t="shared" si="233"/>
        <v>10</v>
      </c>
      <c r="DN552">
        <f t="shared" si="234"/>
        <v>3</v>
      </c>
    </row>
    <row r="553">
      <c r="B553" s="8" t="s">
        <v>35</v>
      </c>
      <c r="C553" s="6">
        <v>4.0</v>
      </c>
      <c r="D553" s="6">
        <v>4.0</v>
      </c>
      <c r="E553" s="6">
        <v>1.0</v>
      </c>
      <c r="F553" s="6">
        <v>3.0</v>
      </c>
      <c r="G553" s="6">
        <v>0.0</v>
      </c>
      <c r="H553" s="6">
        <v>0.0</v>
      </c>
      <c r="I553" s="6">
        <v>0.0</v>
      </c>
      <c r="J553" s="6">
        <v>5.0</v>
      </c>
      <c r="K553" s="6">
        <v>3.0</v>
      </c>
      <c r="L553" s="6">
        <v>0.0</v>
      </c>
      <c r="M553" s="6">
        <v>3.0</v>
      </c>
      <c r="N553" s="6">
        <v>5.0</v>
      </c>
      <c r="O553" s="6">
        <v>2.0</v>
      </c>
      <c r="P553" s="6">
        <v>0.0</v>
      </c>
      <c r="Q553" s="6">
        <v>0.0</v>
      </c>
      <c r="R553" s="6">
        <v>0.0</v>
      </c>
      <c r="S553" s="6">
        <v>3.0</v>
      </c>
      <c r="T553" s="6">
        <v>0.0</v>
      </c>
      <c r="U553" s="6">
        <v>0.0</v>
      </c>
      <c r="V553" s="6">
        <v>0.0</v>
      </c>
      <c r="W553" s="6">
        <v>0.0</v>
      </c>
      <c r="X553" s="6">
        <v>0.0</v>
      </c>
      <c r="Y553" s="6">
        <v>0.0</v>
      </c>
      <c r="Z553" s="6">
        <v>0.0</v>
      </c>
      <c r="AA553" s="6">
        <v>0.0</v>
      </c>
      <c r="AB553" s="6">
        <v>0.0</v>
      </c>
      <c r="AC553" s="6">
        <v>0.0</v>
      </c>
      <c r="AD553" s="6">
        <v>0.0</v>
      </c>
      <c r="AE553" s="6">
        <v>2.0</v>
      </c>
      <c r="AF553" s="6">
        <v>4.0</v>
      </c>
      <c r="AI553" s="44">
        <v>120.0</v>
      </c>
      <c r="AJ553" s="56" t="s">
        <v>212</v>
      </c>
      <c r="AK553" s="44">
        <v>150.0</v>
      </c>
      <c r="AL553" s="44" t="s">
        <v>151</v>
      </c>
      <c r="AM553" s="44">
        <v>120.0</v>
      </c>
      <c r="AN553" s="44">
        <v>120.0</v>
      </c>
      <c r="AO553" s="44" t="s">
        <v>151</v>
      </c>
      <c r="AP553" s="56" t="s">
        <v>217</v>
      </c>
      <c r="AQ553" s="44">
        <v>0.0</v>
      </c>
      <c r="AR553" s="44">
        <v>0.0</v>
      </c>
      <c r="AS553" s="44">
        <v>0.0</v>
      </c>
      <c r="AT553" s="44">
        <v>0.0</v>
      </c>
      <c r="AU553" s="56" t="s">
        <v>151</v>
      </c>
      <c r="AV553" s="44" t="s">
        <v>151</v>
      </c>
      <c r="BA553" s="32">
        <v>1.0</v>
      </c>
      <c r="BB553" s="32">
        <v>5.0</v>
      </c>
      <c r="BC553" s="32">
        <v>6.0</v>
      </c>
      <c r="BD553" s="32">
        <v>6.0</v>
      </c>
      <c r="BE553" s="32">
        <v>5.0</v>
      </c>
      <c r="BF553" s="32">
        <v>6.0</v>
      </c>
      <c r="BG553" s="32">
        <v>6.0</v>
      </c>
      <c r="BH553" s="32">
        <v>6.0</v>
      </c>
      <c r="BK553" s="32">
        <v>0.0</v>
      </c>
      <c r="BL553" s="32">
        <v>6.0</v>
      </c>
      <c r="BM553" s="32">
        <v>6.0</v>
      </c>
      <c r="BN553" s="32">
        <v>5.0</v>
      </c>
      <c r="BO553" s="32">
        <v>5.0</v>
      </c>
      <c r="BQ553" s="46">
        <f t="shared" si="204"/>
        <v>0.4</v>
      </c>
      <c r="BR553" s="46">
        <f t="shared" si="205"/>
        <v>3.5</v>
      </c>
      <c r="BS553" s="46">
        <f t="shared" si="206"/>
        <v>1.5</v>
      </c>
      <c r="BT553" s="46">
        <f t="shared" si="207"/>
        <v>1</v>
      </c>
      <c r="BU553" s="46">
        <f t="shared" si="208"/>
        <v>1.3</v>
      </c>
      <c r="BV553" s="47">
        <f t="shared" si="209"/>
        <v>0</v>
      </c>
      <c r="BW553" s="47">
        <f t="shared" si="210"/>
        <v>0</v>
      </c>
      <c r="BX553" s="47">
        <f t="shared" si="211"/>
        <v>2</v>
      </c>
      <c r="BY553" s="47">
        <f t="shared" si="212"/>
        <v>0</v>
      </c>
      <c r="BZ553" s="48">
        <f t="shared" si="213"/>
        <v>5</v>
      </c>
      <c r="CA553" s="47">
        <f t="shared" si="214"/>
        <v>5.125</v>
      </c>
      <c r="CB553" s="47">
        <f t="shared" si="215"/>
        <v>4.4</v>
      </c>
      <c r="CC553" s="47">
        <f t="shared" si="216"/>
        <v>2</v>
      </c>
      <c r="CF553" s="48">
        <v>0.4</v>
      </c>
      <c r="CG553" s="48">
        <v>3.5</v>
      </c>
      <c r="CH553" s="48">
        <v>1.5</v>
      </c>
      <c r="CI553" s="48">
        <v>1.0</v>
      </c>
      <c r="CJ553" s="48">
        <v>1.3</v>
      </c>
      <c r="CK553" s="47">
        <v>0.0</v>
      </c>
      <c r="CL553" s="47">
        <v>0.0</v>
      </c>
      <c r="CM553" s="47">
        <v>2.0</v>
      </c>
      <c r="CN553" s="47">
        <v>0.0</v>
      </c>
      <c r="CO553" s="48">
        <v>5.0</v>
      </c>
      <c r="CP553" s="47">
        <f t="shared" ref="CP553:CQ553" si="266">(CA553*5)/6</f>
        <v>4.270833333</v>
      </c>
      <c r="CQ553" s="47">
        <f t="shared" si="266"/>
        <v>3.666666667</v>
      </c>
      <c r="CR553" s="47">
        <v>2.0</v>
      </c>
      <c r="CT553" s="8" t="s">
        <v>35</v>
      </c>
      <c r="CU553" s="24">
        <f t="shared" si="218"/>
        <v>8</v>
      </c>
      <c r="CV553" s="24">
        <f t="shared" si="219"/>
        <v>70</v>
      </c>
      <c r="CW553" s="24">
        <f t="shared" si="220"/>
        <v>30</v>
      </c>
      <c r="CX553" s="24">
        <f t="shared" si="221"/>
        <v>20</v>
      </c>
      <c r="DB553">
        <f t="shared" si="222"/>
        <v>6</v>
      </c>
      <c r="DC553">
        <f t="shared" si="223"/>
        <v>21</v>
      </c>
      <c r="DD553">
        <f t="shared" si="224"/>
        <v>9</v>
      </c>
      <c r="DE553">
        <f t="shared" si="225"/>
        <v>3</v>
      </c>
      <c r="DF553">
        <f t="shared" si="226"/>
        <v>39</v>
      </c>
      <c r="DG553">
        <f t="shared" si="227"/>
        <v>0</v>
      </c>
      <c r="DH553">
        <f t="shared" si="228"/>
        <v>0</v>
      </c>
      <c r="DI553">
        <f t="shared" si="229"/>
        <v>6</v>
      </c>
      <c r="DJ553">
        <f t="shared" si="230"/>
        <v>0</v>
      </c>
      <c r="DK553" s="50">
        <f t="shared" si="231"/>
        <v>120</v>
      </c>
      <c r="DL553">
        <f t="shared" si="232"/>
        <v>41</v>
      </c>
      <c r="DM553">
        <f t="shared" si="233"/>
        <v>22</v>
      </c>
      <c r="DN553">
        <f t="shared" si="234"/>
        <v>4</v>
      </c>
    </row>
    <row r="554">
      <c r="B554" s="8" t="s">
        <v>36</v>
      </c>
      <c r="C554" s="6">
        <v>1.0</v>
      </c>
      <c r="D554" s="6">
        <v>2.0</v>
      </c>
      <c r="E554" s="6">
        <v>2.0</v>
      </c>
      <c r="F554" s="6">
        <v>0.0</v>
      </c>
      <c r="G554" s="6">
        <v>0.0</v>
      </c>
      <c r="H554" s="6">
        <v>0.0</v>
      </c>
      <c r="I554" s="6">
        <v>1.0</v>
      </c>
      <c r="J554" s="6">
        <v>1.0</v>
      </c>
      <c r="K554" s="6">
        <v>1.0</v>
      </c>
      <c r="L554" s="6">
        <v>1.0</v>
      </c>
      <c r="M554" s="6">
        <v>1.0</v>
      </c>
      <c r="N554" s="6">
        <v>3.0</v>
      </c>
      <c r="O554" s="6">
        <v>1.0</v>
      </c>
      <c r="P554" s="6">
        <v>1.0</v>
      </c>
      <c r="Q554" s="6">
        <v>1.0</v>
      </c>
      <c r="R554" s="6">
        <v>1.0</v>
      </c>
      <c r="S554" s="6">
        <v>1.0</v>
      </c>
      <c r="T554" s="6">
        <v>0.0</v>
      </c>
      <c r="U554" s="6">
        <v>2.0</v>
      </c>
      <c r="V554" s="6">
        <v>0.0</v>
      </c>
      <c r="W554" s="6">
        <v>1.0</v>
      </c>
      <c r="X554" s="6">
        <v>1.0</v>
      </c>
      <c r="Y554" s="6">
        <v>0.0</v>
      </c>
      <c r="Z554" s="6">
        <v>0.0</v>
      </c>
      <c r="AA554" s="6">
        <v>0.0</v>
      </c>
      <c r="AB554" s="6">
        <v>0.0</v>
      </c>
      <c r="AC554" s="6">
        <v>0.0</v>
      </c>
      <c r="AD554" s="6">
        <v>0.0</v>
      </c>
      <c r="AE554" s="6">
        <v>3.0</v>
      </c>
      <c r="AF554" s="6">
        <v>2.0</v>
      </c>
      <c r="AI554" s="44">
        <v>27.0</v>
      </c>
      <c r="AJ554" s="56" t="s">
        <v>211</v>
      </c>
      <c r="AK554" s="44">
        <v>22.5</v>
      </c>
      <c r="AL554" s="44" t="s">
        <v>151</v>
      </c>
      <c r="AM554" s="44">
        <v>12.0</v>
      </c>
      <c r="AN554" s="44">
        <v>3.0</v>
      </c>
      <c r="AO554" s="44">
        <v>4.5</v>
      </c>
      <c r="AP554" s="56" t="s">
        <v>217</v>
      </c>
      <c r="AQ554" s="44">
        <v>0.0</v>
      </c>
      <c r="AR554" s="44" t="s">
        <v>151</v>
      </c>
      <c r="AS554" s="44" t="s">
        <v>151</v>
      </c>
      <c r="AT554" s="44" t="s">
        <v>151</v>
      </c>
      <c r="AU554" s="56" t="s">
        <v>151</v>
      </c>
      <c r="AV554" s="44" t="s">
        <v>151</v>
      </c>
      <c r="BA554" s="32">
        <v>0.0</v>
      </c>
      <c r="BB554" s="32">
        <v>3.0</v>
      </c>
      <c r="BC554" s="32">
        <v>3.0</v>
      </c>
      <c r="BD554" s="32">
        <v>1.0</v>
      </c>
      <c r="BE554" s="32">
        <v>4.0</v>
      </c>
      <c r="BF554" s="32">
        <v>5.0</v>
      </c>
      <c r="BG554" s="32">
        <v>6.0</v>
      </c>
      <c r="BH554" s="32">
        <v>5.0</v>
      </c>
      <c r="BK554" s="32">
        <v>0.0</v>
      </c>
      <c r="BL554" s="32">
        <v>1.0</v>
      </c>
      <c r="BM554" s="32">
        <v>1.0</v>
      </c>
      <c r="BN554" s="32">
        <v>1.0</v>
      </c>
      <c r="BO554" s="32">
        <v>1.0</v>
      </c>
      <c r="BQ554" s="46">
        <f t="shared" si="204"/>
        <v>0.3333333333</v>
      </c>
      <c r="BR554" s="46">
        <f t="shared" si="205"/>
        <v>1.5</v>
      </c>
      <c r="BS554" s="46">
        <f t="shared" si="206"/>
        <v>1.166666667</v>
      </c>
      <c r="BT554" s="46">
        <f t="shared" si="207"/>
        <v>2</v>
      </c>
      <c r="BU554" s="46">
        <f t="shared" si="208"/>
        <v>0.9</v>
      </c>
      <c r="BV554" s="47">
        <f t="shared" si="209"/>
        <v>0.3333333333</v>
      </c>
      <c r="BW554" s="47">
        <f t="shared" si="210"/>
        <v>0</v>
      </c>
      <c r="BX554" s="47">
        <f t="shared" si="211"/>
        <v>0.3333333333</v>
      </c>
      <c r="BY554" s="47">
        <f t="shared" si="212"/>
        <v>0.6666666667</v>
      </c>
      <c r="BZ554" s="48">
        <f t="shared" si="213"/>
        <v>1.125</v>
      </c>
      <c r="CA554" s="47">
        <f t="shared" si="214"/>
        <v>3.375</v>
      </c>
      <c r="CB554" s="47">
        <f t="shared" si="215"/>
        <v>0.8</v>
      </c>
      <c r="CC554" s="47">
        <f t="shared" si="216"/>
        <v>1</v>
      </c>
      <c r="CF554" s="48">
        <v>0.3333333333333333</v>
      </c>
      <c r="CG554" s="48">
        <v>1.5</v>
      </c>
      <c r="CH554" s="48">
        <v>1.1666666666666667</v>
      </c>
      <c r="CI554" s="48">
        <v>2.0</v>
      </c>
      <c r="CJ554" s="48">
        <v>0.9</v>
      </c>
      <c r="CK554" s="47">
        <v>0.3333333333333333</v>
      </c>
      <c r="CL554" s="47">
        <v>0.0</v>
      </c>
      <c r="CM554" s="47">
        <v>0.3333333333333333</v>
      </c>
      <c r="CN554" s="47">
        <v>0.6666666666666666</v>
      </c>
      <c r="CO554" s="48">
        <v>1.125</v>
      </c>
      <c r="CP554" s="47">
        <f t="shared" ref="CP554:CQ554" si="267">(CA554*5)/6</f>
        <v>2.8125</v>
      </c>
      <c r="CQ554" s="47">
        <f t="shared" si="267"/>
        <v>0.6666666667</v>
      </c>
      <c r="CR554" s="47">
        <v>1.0</v>
      </c>
      <c r="CT554" s="8" t="s">
        <v>36</v>
      </c>
      <c r="CU554" s="24">
        <f t="shared" si="218"/>
        <v>6.666666667</v>
      </c>
      <c r="CV554" s="24">
        <f t="shared" si="219"/>
        <v>30</v>
      </c>
      <c r="CW554" s="24">
        <f t="shared" si="220"/>
        <v>23.33333333</v>
      </c>
      <c r="CX554" s="24">
        <f t="shared" si="221"/>
        <v>40</v>
      </c>
      <c r="DB554">
        <f t="shared" si="222"/>
        <v>5</v>
      </c>
      <c r="DC554">
        <f t="shared" si="223"/>
        <v>9</v>
      </c>
      <c r="DD554">
        <f t="shared" si="224"/>
        <v>7</v>
      </c>
      <c r="DE554">
        <f t="shared" si="225"/>
        <v>6</v>
      </c>
      <c r="DF554">
        <f t="shared" si="226"/>
        <v>27</v>
      </c>
      <c r="DG554">
        <f t="shared" si="227"/>
        <v>2</v>
      </c>
      <c r="DH554">
        <f t="shared" si="228"/>
        <v>0</v>
      </c>
      <c r="DI554">
        <f t="shared" si="229"/>
        <v>1</v>
      </c>
      <c r="DJ554">
        <f t="shared" si="230"/>
        <v>2</v>
      </c>
      <c r="DK554" s="50">
        <f t="shared" si="231"/>
        <v>27</v>
      </c>
      <c r="DL554">
        <f t="shared" si="232"/>
        <v>27</v>
      </c>
      <c r="DM554">
        <f t="shared" si="233"/>
        <v>4</v>
      </c>
      <c r="DN554">
        <f t="shared" si="234"/>
        <v>2</v>
      </c>
    </row>
    <row r="556">
      <c r="B556" s="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V556" s="4"/>
      <c r="AZ556" s="1"/>
      <c r="BA556">
        <f t="shared" ref="BA556:BH556" si="268">BA520-1</f>
        <v>4</v>
      </c>
      <c r="BB556">
        <f t="shared" si="268"/>
        <v>4</v>
      </c>
      <c r="BC556">
        <f t="shared" si="268"/>
        <v>4</v>
      </c>
      <c r="BD556">
        <f t="shared" si="268"/>
        <v>4</v>
      </c>
      <c r="BE556">
        <f t="shared" si="268"/>
        <v>3</v>
      </c>
      <c r="BF556">
        <f t="shared" si="268"/>
        <v>5</v>
      </c>
      <c r="BG556">
        <f t="shared" si="268"/>
        <v>5</v>
      </c>
      <c r="BH556">
        <f t="shared" si="268"/>
        <v>4</v>
      </c>
      <c r="BK556">
        <f t="shared" ref="BK556:BO556" si="269">BK520-1</f>
        <v>3</v>
      </c>
      <c r="BL556">
        <f t="shared" si="269"/>
        <v>3</v>
      </c>
      <c r="BM556">
        <f t="shared" si="269"/>
        <v>3</v>
      </c>
      <c r="BN556">
        <f t="shared" si="269"/>
        <v>3</v>
      </c>
      <c r="BO556">
        <f t="shared" si="269"/>
        <v>3</v>
      </c>
      <c r="BQ556" s="1"/>
      <c r="BR556" s="1"/>
      <c r="BS556" s="1"/>
      <c r="BT556" s="1"/>
      <c r="BU556" s="1"/>
    </row>
    <row r="557">
      <c r="AV557" s="57"/>
      <c r="BA557">
        <f t="shared" ref="BA557:BH557" si="270">BA521-1</f>
        <v>3</v>
      </c>
      <c r="BB557">
        <f t="shared" si="270"/>
        <v>4</v>
      </c>
      <c r="BC557">
        <f t="shared" si="270"/>
        <v>4</v>
      </c>
      <c r="BD557">
        <f t="shared" si="270"/>
        <v>4</v>
      </c>
      <c r="BE557">
        <f t="shared" si="270"/>
        <v>2</v>
      </c>
      <c r="BF557">
        <f t="shared" si="270"/>
        <v>5</v>
      </c>
      <c r="BG557">
        <f t="shared" si="270"/>
        <v>4</v>
      </c>
      <c r="BH557">
        <f t="shared" si="270"/>
        <v>2</v>
      </c>
      <c r="BK557">
        <f t="shared" ref="BK557:BO557" si="271">BK521-1</f>
        <v>1</v>
      </c>
      <c r="BL557">
        <f t="shared" si="271"/>
        <v>1</v>
      </c>
      <c r="BM557">
        <f t="shared" si="271"/>
        <v>1</v>
      </c>
      <c r="BN557">
        <f t="shared" si="271"/>
        <v>2</v>
      </c>
      <c r="BO557">
        <f t="shared" si="271"/>
        <v>2</v>
      </c>
    </row>
    <row r="558">
      <c r="AI558" s="58"/>
      <c r="AJ558" s="59"/>
      <c r="AK558" s="58"/>
      <c r="AL558" s="58"/>
      <c r="AM558" s="58"/>
      <c r="AN558" s="58"/>
      <c r="AO558" s="58"/>
      <c r="AP558" s="59"/>
      <c r="AQ558" s="58"/>
      <c r="AR558" s="58"/>
      <c r="AS558" s="58"/>
      <c r="AT558" s="58"/>
      <c r="AU558" s="59"/>
      <c r="AV558" s="58"/>
      <c r="BA558">
        <f t="shared" ref="BA558:BH558" si="272">BA522-1</f>
        <v>4</v>
      </c>
      <c r="BB558">
        <f t="shared" si="272"/>
        <v>3</v>
      </c>
      <c r="BC558">
        <f t="shared" si="272"/>
        <v>4</v>
      </c>
      <c r="BD558">
        <f t="shared" si="272"/>
        <v>2</v>
      </c>
      <c r="BE558">
        <f t="shared" si="272"/>
        <v>2</v>
      </c>
      <c r="BF558">
        <f t="shared" si="272"/>
        <v>4</v>
      </c>
      <c r="BG558">
        <f t="shared" si="272"/>
        <v>2</v>
      </c>
      <c r="BH558">
        <f t="shared" si="272"/>
        <v>2</v>
      </c>
      <c r="BK558">
        <f t="shared" ref="BK558:BO558" si="273">BK522-1</f>
        <v>2</v>
      </c>
      <c r="BL558">
        <f t="shared" si="273"/>
        <v>2</v>
      </c>
      <c r="BM558">
        <f t="shared" si="273"/>
        <v>3</v>
      </c>
      <c r="BN558">
        <f t="shared" si="273"/>
        <v>2</v>
      </c>
      <c r="BO558">
        <f t="shared" si="273"/>
        <v>0</v>
      </c>
    </row>
    <row r="559">
      <c r="AI559" s="58"/>
      <c r="AJ559" s="59"/>
      <c r="AK559" s="58"/>
      <c r="AL559" s="58"/>
      <c r="AM559" s="58"/>
      <c r="AN559" s="58"/>
      <c r="AO559" s="58"/>
      <c r="AP559" s="59"/>
      <c r="AQ559" s="58"/>
      <c r="AR559" s="58"/>
      <c r="AS559" s="58"/>
      <c r="AT559" s="58"/>
      <c r="AU559" s="59"/>
      <c r="AV559" s="58"/>
      <c r="BA559">
        <f t="shared" ref="BA559:BH559" si="274">BA523-1</f>
        <v>3</v>
      </c>
      <c r="BB559">
        <f t="shared" si="274"/>
        <v>0</v>
      </c>
      <c r="BC559">
        <f t="shared" si="274"/>
        <v>-1</v>
      </c>
      <c r="BD559">
        <f t="shared" si="274"/>
        <v>0</v>
      </c>
      <c r="BE559">
        <f t="shared" si="274"/>
        <v>0</v>
      </c>
      <c r="BF559">
        <f t="shared" si="274"/>
        <v>5</v>
      </c>
      <c r="BG559">
        <f t="shared" si="274"/>
        <v>2</v>
      </c>
      <c r="BH559">
        <f t="shared" si="274"/>
        <v>4</v>
      </c>
      <c r="BK559">
        <f t="shared" ref="BK559:BO559" si="275">BK523-1</f>
        <v>5</v>
      </c>
      <c r="BL559">
        <f t="shared" si="275"/>
        <v>3</v>
      </c>
      <c r="BM559">
        <f t="shared" si="275"/>
        <v>3</v>
      </c>
      <c r="BN559">
        <f t="shared" si="275"/>
        <v>2</v>
      </c>
      <c r="BO559">
        <f t="shared" si="275"/>
        <v>5</v>
      </c>
    </row>
    <row r="560">
      <c r="AI560" s="58"/>
      <c r="AJ560" s="59"/>
      <c r="AK560" s="58"/>
      <c r="AL560" s="58"/>
      <c r="AM560" s="58"/>
      <c r="AN560" s="58"/>
      <c r="AO560" s="58"/>
      <c r="AP560" s="59"/>
      <c r="AQ560" s="58"/>
      <c r="AR560" s="58"/>
      <c r="AS560" s="58"/>
      <c r="AT560" s="58"/>
      <c r="AU560" s="59"/>
      <c r="AV560" s="58"/>
      <c r="BA560">
        <f t="shared" ref="BA560:BH560" si="276">BA524-1</f>
        <v>4</v>
      </c>
      <c r="BB560">
        <f t="shared" si="276"/>
        <v>4</v>
      </c>
      <c r="BC560">
        <f t="shared" si="276"/>
        <v>3</v>
      </c>
      <c r="BD560">
        <f t="shared" si="276"/>
        <v>4</v>
      </c>
      <c r="BE560">
        <f t="shared" si="276"/>
        <v>3</v>
      </c>
      <c r="BF560">
        <f t="shared" si="276"/>
        <v>5</v>
      </c>
      <c r="BG560">
        <f t="shared" si="276"/>
        <v>4</v>
      </c>
      <c r="BH560">
        <f t="shared" si="276"/>
        <v>4</v>
      </c>
      <c r="BK560">
        <f t="shared" ref="BK560:BO560" si="277">BK524-1</f>
        <v>2</v>
      </c>
      <c r="BL560">
        <f t="shared" si="277"/>
        <v>2</v>
      </c>
      <c r="BM560">
        <f t="shared" si="277"/>
        <v>4</v>
      </c>
      <c r="BN560">
        <f t="shared" si="277"/>
        <v>2</v>
      </c>
      <c r="BO560">
        <f t="shared" si="277"/>
        <v>2</v>
      </c>
    </row>
    <row r="561">
      <c r="AI561" s="58"/>
      <c r="AJ561" s="59"/>
      <c r="AK561" s="58"/>
      <c r="AL561" s="58"/>
      <c r="AM561" s="58"/>
      <c r="AN561" s="58"/>
      <c r="AO561" s="58"/>
      <c r="AP561" s="59"/>
      <c r="AQ561" s="58"/>
      <c r="AR561" s="58"/>
      <c r="AS561" s="58"/>
      <c r="AT561" s="58"/>
      <c r="AU561" s="59"/>
      <c r="AV561" s="58"/>
      <c r="BA561">
        <f t="shared" ref="BA561:BH561" si="278">BA525-1</f>
        <v>-1</v>
      </c>
      <c r="BB561">
        <f t="shared" si="278"/>
        <v>4</v>
      </c>
      <c r="BC561">
        <f t="shared" si="278"/>
        <v>4</v>
      </c>
      <c r="BD561">
        <f t="shared" si="278"/>
        <v>5</v>
      </c>
      <c r="BE561">
        <f t="shared" si="278"/>
        <v>2</v>
      </c>
      <c r="BF561">
        <f t="shared" si="278"/>
        <v>0</v>
      </c>
      <c r="BG561">
        <f t="shared" si="278"/>
        <v>4</v>
      </c>
      <c r="BH561">
        <f t="shared" si="278"/>
        <v>2</v>
      </c>
      <c r="BK561">
        <f t="shared" ref="BK561:BO561" si="279">BK525-1</f>
        <v>2</v>
      </c>
      <c r="BL561">
        <f t="shared" si="279"/>
        <v>2</v>
      </c>
      <c r="BM561">
        <f t="shared" si="279"/>
        <v>1</v>
      </c>
      <c r="BN561">
        <f t="shared" si="279"/>
        <v>2</v>
      </c>
      <c r="BO561">
        <f t="shared" si="279"/>
        <v>-1</v>
      </c>
    </row>
    <row r="562">
      <c r="AI562" s="58"/>
      <c r="AJ562" s="59"/>
      <c r="AK562" s="58"/>
      <c r="AL562" s="58"/>
      <c r="AM562" s="58"/>
      <c r="AN562" s="58"/>
      <c r="AO562" s="58"/>
      <c r="AP562" s="59"/>
      <c r="AQ562" s="58"/>
      <c r="AR562" s="58"/>
      <c r="AS562" s="58"/>
      <c r="AT562" s="58"/>
      <c r="AU562" s="59"/>
      <c r="AV562" s="58"/>
      <c r="BA562">
        <f t="shared" ref="BA562:BH562" si="280">BA526-1</f>
        <v>1</v>
      </c>
      <c r="BB562">
        <f t="shared" si="280"/>
        <v>3</v>
      </c>
      <c r="BC562">
        <f t="shared" si="280"/>
        <v>4</v>
      </c>
      <c r="BD562">
        <f t="shared" si="280"/>
        <v>3</v>
      </c>
      <c r="BE562">
        <f t="shared" si="280"/>
        <v>1</v>
      </c>
      <c r="BF562">
        <f t="shared" si="280"/>
        <v>3</v>
      </c>
      <c r="BG562">
        <f t="shared" si="280"/>
        <v>4</v>
      </c>
      <c r="BH562">
        <f t="shared" si="280"/>
        <v>2</v>
      </c>
      <c r="BK562">
        <f t="shared" ref="BK562:BO562" si="281">BK526-1</f>
        <v>0</v>
      </c>
      <c r="BL562">
        <f t="shared" si="281"/>
        <v>0</v>
      </c>
      <c r="BM562">
        <f t="shared" si="281"/>
        <v>4</v>
      </c>
      <c r="BN562">
        <f t="shared" si="281"/>
        <v>3</v>
      </c>
      <c r="BO562">
        <f t="shared" si="281"/>
        <v>2</v>
      </c>
    </row>
    <row r="563">
      <c r="AI563" s="58"/>
      <c r="AJ563" s="59"/>
      <c r="AK563" s="58"/>
      <c r="AL563" s="58"/>
      <c r="AM563" s="58"/>
      <c r="AN563" s="58"/>
      <c r="AO563" s="58"/>
      <c r="AP563" s="59"/>
      <c r="AQ563" s="58"/>
      <c r="AR563" s="58"/>
      <c r="AS563" s="58"/>
      <c r="AT563" s="58"/>
      <c r="AU563" s="59"/>
      <c r="AV563" s="58"/>
      <c r="BA563">
        <f t="shared" ref="BA563:BH563" si="282">BA527-1</f>
        <v>0</v>
      </c>
      <c r="BB563">
        <f t="shared" si="282"/>
        <v>4</v>
      </c>
      <c r="BC563">
        <f t="shared" si="282"/>
        <v>5</v>
      </c>
      <c r="BD563">
        <f t="shared" si="282"/>
        <v>4</v>
      </c>
      <c r="BE563">
        <f t="shared" si="282"/>
        <v>0</v>
      </c>
      <c r="BF563">
        <f t="shared" si="282"/>
        <v>5</v>
      </c>
      <c r="BG563">
        <f t="shared" si="282"/>
        <v>5</v>
      </c>
      <c r="BH563">
        <f t="shared" si="282"/>
        <v>4</v>
      </c>
      <c r="BK563">
        <f t="shared" ref="BK563:BO563" si="283">BK527-1</f>
        <v>5</v>
      </c>
      <c r="BL563">
        <f t="shared" si="283"/>
        <v>-1</v>
      </c>
      <c r="BM563">
        <f t="shared" si="283"/>
        <v>5</v>
      </c>
      <c r="BN563">
        <f t="shared" si="283"/>
        <v>2</v>
      </c>
      <c r="BO563">
        <f t="shared" si="283"/>
        <v>1</v>
      </c>
    </row>
    <row r="564">
      <c r="AI564" s="58"/>
      <c r="AJ564" s="59"/>
      <c r="AK564" s="58"/>
      <c r="AL564" s="58"/>
      <c r="AM564" s="58"/>
      <c r="AN564" s="58"/>
      <c r="AO564" s="58"/>
      <c r="AP564" s="59"/>
      <c r="AQ564" s="58"/>
      <c r="AR564" s="58"/>
      <c r="AS564" s="58"/>
      <c r="AT564" s="58"/>
      <c r="AU564" s="59"/>
      <c r="AV564" s="58"/>
      <c r="BA564">
        <f t="shared" ref="BA564:BH564" si="284">BA528-1</f>
        <v>0</v>
      </c>
      <c r="BB564">
        <f t="shared" si="284"/>
        <v>0</v>
      </c>
      <c r="BC564">
        <f t="shared" si="284"/>
        <v>0</v>
      </c>
      <c r="BD564">
        <f t="shared" si="284"/>
        <v>0</v>
      </c>
      <c r="BE564">
        <f t="shared" si="284"/>
        <v>0</v>
      </c>
      <c r="BF564">
        <f t="shared" si="284"/>
        <v>0</v>
      </c>
      <c r="BG564">
        <f t="shared" si="284"/>
        <v>2</v>
      </c>
      <c r="BH564">
        <f t="shared" si="284"/>
        <v>0</v>
      </c>
      <c r="BK564">
        <f t="shared" ref="BK564:BO564" si="285">BK528-1</f>
        <v>-1</v>
      </c>
      <c r="BL564">
        <f t="shared" si="285"/>
        <v>0</v>
      </c>
      <c r="BM564">
        <f t="shared" si="285"/>
        <v>-1</v>
      </c>
      <c r="BN564">
        <f t="shared" si="285"/>
        <v>0</v>
      </c>
      <c r="BO564">
        <f t="shared" si="285"/>
        <v>-1</v>
      </c>
    </row>
    <row r="565">
      <c r="AI565" s="58"/>
      <c r="AJ565" s="59"/>
      <c r="AK565" s="58"/>
      <c r="AL565" s="58"/>
      <c r="AM565" s="58"/>
      <c r="AN565" s="58"/>
      <c r="AO565" s="58"/>
      <c r="AP565" s="59"/>
      <c r="AQ565" s="58"/>
      <c r="AR565" s="58"/>
      <c r="AS565" s="58"/>
      <c r="AT565" s="58"/>
      <c r="AU565" s="59"/>
      <c r="AV565" s="58"/>
      <c r="BA565">
        <f t="shared" ref="BA565:BH565" si="286">BA529-1</f>
        <v>-1</v>
      </c>
      <c r="BB565">
        <f t="shared" si="286"/>
        <v>0</v>
      </c>
      <c r="BC565">
        <f t="shared" si="286"/>
        <v>3</v>
      </c>
      <c r="BD565">
        <f t="shared" si="286"/>
        <v>0</v>
      </c>
      <c r="BE565">
        <f t="shared" si="286"/>
        <v>0</v>
      </c>
      <c r="BF565">
        <f t="shared" si="286"/>
        <v>2</v>
      </c>
      <c r="BG565">
        <f t="shared" si="286"/>
        <v>4</v>
      </c>
      <c r="BH565">
        <f t="shared" si="286"/>
        <v>2</v>
      </c>
      <c r="BK565">
        <f t="shared" ref="BK565:BO565" si="287">BK529-1</f>
        <v>4</v>
      </c>
      <c r="BL565">
        <f t="shared" si="287"/>
        <v>1</v>
      </c>
      <c r="BM565">
        <f t="shared" si="287"/>
        <v>1</v>
      </c>
      <c r="BN565">
        <f t="shared" si="287"/>
        <v>0</v>
      </c>
      <c r="BO565">
        <f t="shared" si="287"/>
        <v>3</v>
      </c>
    </row>
    <row r="566">
      <c r="AI566" s="58"/>
      <c r="AJ566" s="59"/>
      <c r="AK566" s="58"/>
      <c r="AL566" s="58"/>
      <c r="AM566" s="58"/>
      <c r="AN566" s="58"/>
      <c r="AO566" s="58"/>
      <c r="AP566" s="59"/>
      <c r="AQ566" s="58"/>
      <c r="AR566" s="58"/>
      <c r="AS566" s="58"/>
      <c r="AT566" s="58"/>
      <c r="AU566" s="59"/>
      <c r="AV566" s="58"/>
      <c r="BA566">
        <f t="shared" ref="BA566:BH566" si="288">BA530-1</f>
        <v>3</v>
      </c>
      <c r="BB566">
        <f t="shared" si="288"/>
        <v>3</v>
      </c>
      <c r="BC566">
        <f t="shared" si="288"/>
        <v>4</v>
      </c>
      <c r="BD566">
        <f t="shared" si="288"/>
        <v>3</v>
      </c>
      <c r="BE566">
        <f t="shared" si="288"/>
        <v>3</v>
      </c>
      <c r="BF566">
        <f t="shared" si="288"/>
        <v>4</v>
      </c>
      <c r="BG566">
        <f t="shared" si="288"/>
        <v>3</v>
      </c>
      <c r="BH566">
        <f t="shared" si="288"/>
        <v>3</v>
      </c>
      <c r="BK566">
        <f t="shared" ref="BK566:BO566" si="289">BK530-1</f>
        <v>2</v>
      </c>
      <c r="BL566">
        <f t="shared" si="289"/>
        <v>-1</v>
      </c>
      <c r="BM566">
        <f t="shared" si="289"/>
        <v>-1</v>
      </c>
      <c r="BN566">
        <f t="shared" si="289"/>
        <v>-1</v>
      </c>
      <c r="BO566">
        <f t="shared" si="289"/>
        <v>-1</v>
      </c>
    </row>
    <row r="567">
      <c r="AI567" s="58"/>
      <c r="AJ567" s="59"/>
      <c r="AK567" s="58"/>
      <c r="AL567" s="58"/>
      <c r="AM567" s="58"/>
      <c r="AN567" s="58"/>
      <c r="AO567" s="58"/>
      <c r="AP567" s="59"/>
      <c r="AQ567" s="58"/>
      <c r="AR567" s="58"/>
      <c r="AS567" s="58"/>
      <c r="AT567" s="58"/>
      <c r="AU567" s="59"/>
      <c r="AV567" s="58"/>
      <c r="BA567">
        <f t="shared" ref="BA567:BH567" si="290">BA531-1</f>
        <v>4</v>
      </c>
      <c r="BB567">
        <f t="shared" si="290"/>
        <v>3</v>
      </c>
      <c r="BC567">
        <f t="shared" si="290"/>
        <v>4</v>
      </c>
      <c r="BD567">
        <f t="shared" si="290"/>
        <v>4</v>
      </c>
      <c r="BE567">
        <f t="shared" si="290"/>
        <v>0</v>
      </c>
      <c r="BF567">
        <f t="shared" si="290"/>
        <v>5</v>
      </c>
      <c r="BG567">
        <f t="shared" si="290"/>
        <v>5</v>
      </c>
      <c r="BH567">
        <f t="shared" si="290"/>
        <v>5</v>
      </c>
      <c r="BK567">
        <f t="shared" ref="BK567:BO567" si="291">BK531-1</f>
        <v>4</v>
      </c>
      <c r="BL567">
        <f t="shared" si="291"/>
        <v>3</v>
      </c>
      <c r="BM567">
        <f t="shared" si="291"/>
        <v>4</v>
      </c>
      <c r="BN567">
        <f t="shared" si="291"/>
        <v>4</v>
      </c>
      <c r="BO567">
        <f t="shared" si="291"/>
        <v>4</v>
      </c>
    </row>
    <row r="568">
      <c r="AI568" s="58"/>
      <c r="AJ568" s="59"/>
      <c r="AK568" s="58"/>
      <c r="AL568" s="58"/>
      <c r="AM568" s="58"/>
      <c r="AN568" s="58"/>
      <c r="AO568" s="58"/>
      <c r="AP568" s="59"/>
      <c r="AQ568" s="58"/>
      <c r="AR568" s="58"/>
      <c r="AS568" s="58"/>
      <c r="AT568" s="58"/>
      <c r="AU568" s="59"/>
      <c r="AV568" s="58"/>
      <c r="BA568">
        <f t="shared" ref="BA568:BH568" si="292">BA532-1</f>
        <v>3</v>
      </c>
      <c r="BB568">
        <f t="shared" si="292"/>
        <v>0</v>
      </c>
      <c r="BC568">
        <f t="shared" si="292"/>
        <v>0</v>
      </c>
      <c r="BD568">
        <f t="shared" si="292"/>
        <v>3</v>
      </c>
      <c r="BE568">
        <f t="shared" si="292"/>
        <v>0</v>
      </c>
      <c r="BF568">
        <f t="shared" si="292"/>
        <v>5</v>
      </c>
      <c r="BG568">
        <f t="shared" si="292"/>
        <v>5</v>
      </c>
      <c r="BH568">
        <f t="shared" si="292"/>
        <v>4</v>
      </c>
      <c r="BK568">
        <f t="shared" ref="BK568:BO568" si="293">BK532-1</f>
        <v>1</v>
      </c>
      <c r="BL568">
        <f t="shared" si="293"/>
        <v>2</v>
      </c>
      <c r="BM568">
        <f t="shared" si="293"/>
        <v>1</v>
      </c>
      <c r="BN568">
        <f t="shared" si="293"/>
        <v>2</v>
      </c>
      <c r="BO568">
        <f t="shared" si="293"/>
        <v>1</v>
      </c>
    </row>
    <row r="569">
      <c r="AI569" s="58"/>
      <c r="AJ569" s="59"/>
      <c r="AK569" s="58"/>
      <c r="AL569" s="58"/>
      <c r="AM569" s="58"/>
      <c r="AN569" s="58"/>
      <c r="AO569" s="58"/>
      <c r="AP569" s="59"/>
      <c r="AQ569" s="58"/>
      <c r="AR569" s="58"/>
      <c r="AS569" s="58"/>
      <c r="AT569" s="58"/>
      <c r="AU569" s="59"/>
      <c r="AV569" s="58"/>
      <c r="BA569">
        <f t="shared" ref="BA569:BH569" si="294">BA533-1</f>
        <v>5</v>
      </c>
      <c r="BB569">
        <f t="shared" si="294"/>
        <v>5</v>
      </c>
      <c r="BC569">
        <f t="shared" si="294"/>
        <v>5</v>
      </c>
      <c r="BD569">
        <f t="shared" si="294"/>
        <v>5</v>
      </c>
      <c r="BE569">
        <f t="shared" si="294"/>
        <v>3</v>
      </c>
      <c r="BF569">
        <f t="shared" si="294"/>
        <v>5</v>
      </c>
      <c r="BG569">
        <f t="shared" si="294"/>
        <v>5</v>
      </c>
      <c r="BH569">
        <f t="shared" si="294"/>
        <v>5</v>
      </c>
      <c r="BK569">
        <f t="shared" ref="BK569:BO569" si="295">BK533-1</f>
        <v>5</v>
      </c>
      <c r="BL569">
        <f t="shared" si="295"/>
        <v>5</v>
      </c>
      <c r="BM569">
        <f t="shared" si="295"/>
        <v>5</v>
      </c>
      <c r="BN569">
        <f t="shared" si="295"/>
        <v>5</v>
      </c>
      <c r="BO569">
        <f t="shared" si="295"/>
        <v>5</v>
      </c>
    </row>
    <row r="570">
      <c r="AI570" s="58"/>
      <c r="AJ570" s="59"/>
      <c r="AK570" s="58"/>
      <c r="AL570" s="58"/>
      <c r="AM570" s="58"/>
      <c r="AN570" s="58"/>
      <c r="AO570" s="58"/>
      <c r="AP570" s="59"/>
      <c r="AQ570" s="58"/>
      <c r="AR570" s="58"/>
      <c r="AS570" s="58"/>
      <c r="AT570" s="58"/>
      <c r="AU570" s="59"/>
      <c r="AV570" s="58"/>
      <c r="BA570">
        <f t="shared" ref="BA570:BH570" si="296">BA534-1</f>
        <v>0</v>
      </c>
      <c r="BB570">
        <f t="shared" si="296"/>
        <v>2</v>
      </c>
      <c r="BC570">
        <f t="shared" si="296"/>
        <v>4</v>
      </c>
      <c r="BD570">
        <f t="shared" si="296"/>
        <v>4</v>
      </c>
      <c r="BE570">
        <f t="shared" si="296"/>
        <v>2</v>
      </c>
      <c r="BF570">
        <f t="shared" si="296"/>
        <v>4</v>
      </c>
      <c r="BG570">
        <f t="shared" si="296"/>
        <v>5</v>
      </c>
      <c r="BH570">
        <f t="shared" si="296"/>
        <v>5</v>
      </c>
      <c r="BK570">
        <f t="shared" ref="BK570:BO570" si="297">BK534-1</f>
        <v>2</v>
      </c>
      <c r="BL570">
        <f t="shared" si="297"/>
        <v>3</v>
      </c>
      <c r="BM570">
        <f t="shared" si="297"/>
        <v>2</v>
      </c>
      <c r="BN570">
        <f t="shared" si="297"/>
        <v>1</v>
      </c>
      <c r="BO570">
        <f t="shared" si="297"/>
        <v>3</v>
      </c>
    </row>
    <row r="571">
      <c r="AI571" s="58"/>
      <c r="AJ571" s="59"/>
      <c r="AK571" s="58"/>
      <c r="AL571" s="58"/>
      <c r="AM571" s="58"/>
      <c r="AN571" s="58"/>
      <c r="AO571" s="58"/>
      <c r="AP571" s="59"/>
      <c r="AQ571" s="58"/>
      <c r="AR571" s="58"/>
      <c r="AS571" s="58"/>
      <c r="AT571" s="58"/>
      <c r="AU571" s="59"/>
      <c r="AV571" s="58"/>
      <c r="BA571">
        <f t="shared" ref="BA571:BH571" si="298">BA535-1</f>
        <v>0</v>
      </c>
      <c r="BB571">
        <f t="shared" si="298"/>
        <v>3</v>
      </c>
      <c r="BC571">
        <f t="shared" si="298"/>
        <v>5</v>
      </c>
      <c r="BD571">
        <f t="shared" si="298"/>
        <v>-1</v>
      </c>
      <c r="BE571">
        <f t="shared" si="298"/>
        <v>-1</v>
      </c>
      <c r="BF571">
        <f t="shared" si="298"/>
        <v>-1</v>
      </c>
      <c r="BG571">
        <f t="shared" si="298"/>
        <v>5</v>
      </c>
      <c r="BH571">
        <f t="shared" si="298"/>
        <v>5</v>
      </c>
      <c r="BK571">
        <f t="shared" ref="BK571:BO571" si="299">BK535-1</f>
        <v>0</v>
      </c>
      <c r="BL571">
        <f t="shared" si="299"/>
        <v>3</v>
      </c>
      <c r="BM571">
        <f t="shared" si="299"/>
        <v>2</v>
      </c>
      <c r="BN571">
        <f t="shared" si="299"/>
        <v>4</v>
      </c>
      <c r="BO571">
        <f t="shared" si="299"/>
        <v>4</v>
      </c>
    </row>
    <row r="572">
      <c r="AI572" s="58"/>
      <c r="AJ572" s="59"/>
      <c r="AK572" s="58"/>
      <c r="AL572" s="58"/>
      <c r="AM572" s="58"/>
      <c r="AN572" s="58"/>
      <c r="AO572" s="58"/>
      <c r="AP572" s="59"/>
      <c r="AQ572" s="58"/>
      <c r="AR572" s="58"/>
      <c r="AS572" s="58"/>
      <c r="AT572" s="58"/>
      <c r="AU572" s="59"/>
      <c r="AV572" s="58"/>
      <c r="BA572">
        <f t="shared" ref="BA572:BH572" si="300">BA536-1</f>
        <v>0</v>
      </c>
      <c r="BB572">
        <f t="shared" si="300"/>
        <v>3</v>
      </c>
      <c r="BC572">
        <f t="shared" si="300"/>
        <v>5</v>
      </c>
      <c r="BD572">
        <f t="shared" si="300"/>
        <v>-1</v>
      </c>
      <c r="BE572">
        <f t="shared" si="300"/>
        <v>-1</v>
      </c>
      <c r="BF572">
        <f t="shared" si="300"/>
        <v>-1</v>
      </c>
      <c r="BG572">
        <f t="shared" si="300"/>
        <v>5</v>
      </c>
      <c r="BH572">
        <f t="shared" si="300"/>
        <v>5</v>
      </c>
      <c r="BK572">
        <f t="shared" ref="BK572:BO572" si="301">BK536-1</f>
        <v>0</v>
      </c>
      <c r="BL572">
        <f t="shared" si="301"/>
        <v>3</v>
      </c>
      <c r="BM572">
        <f t="shared" si="301"/>
        <v>2</v>
      </c>
      <c r="BN572">
        <f t="shared" si="301"/>
        <v>4</v>
      </c>
      <c r="BO572">
        <f t="shared" si="301"/>
        <v>4</v>
      </c>
    </row>
    <row r="573">
      <c r="BA573">
        <f t="shared" ref="BA573:BH573" si="302">BA537-1</f>
        <v>0</v>
      </c>
      <c r="BB573">
        <f t="shared" si="302"/>
        <v>0</v>
      </c>
      <c r="BC573">
        <f t="shared" si="302"/>
        <v>4</v>
      </c>
      <c r="BD573">
        <f t="shared" si="302"/>
        <v>0</v>
      </c>
      <c r="BE573">
        <f t="shared" si="302"/>
        <v>3</v>
      </c>
      <c r="BF573">
        <f t="shared" si="302"/>
        <v>4</v>
      </c>
      <c r="BG573">
        <f t="shared" si="302"/>
        <v>4</v>
      </c>
      <c r="BH573">
        <f t="shared" si="302"/>
        <v>4</v>
      </c>
      <c r="BK573">
        <f t="shared" ref="BK573:BO573" si="303">BK537-1</f>
        <v>3</v>
      </c>
      <c r="BL573">
        <f t="shared" si="303"/>
        <v>3</v>
      </c>
      <c r="BM573">
        <f t="shared" si="303"/>
        <v>3</v>
      </c>
      <c r="BN573">
        <f t="shared" si="303"/>
        <v>5</v>
      </c>
      <c r="BO573">
        <f t="shared" si="303"/>
        <v>3</v>
      </c>
    </row>
    <row r="574">
      <c r="BA574">
        <f t="shared" ref="BA574:BH574" si="304">BA538-1</f>
        <v>0</v>
      </c>
      <c r="BB574">
        <f t="shared" si="304"/>
        <v>4</v>
      </c>
      <c r="BC574">
        <f t="shared" si="304"/>
        <v>4</v>
      </c>
      <c r="BD574">
        <f t="shared" si="304"/>
        <v>5</v>
      </c>
      <c r="BE574">
        <f t="shared" si="304"/>
        <v>2</v>
      </c>
      <c r="BF574">
        <f t="shared" si="304"/>
        <v>2</v>
      </c>
      <c r="BG574">
        <f t="shared" si="304"/>
        <v>2</v>
      </c>
      <c r="BH574">
        <f t="shared" si="304"/>
        <v>5</v>
      </c>
      <c r="BK574">
        <f t="shared" ref="BK574:BO574" si="305">BK538-1</f>
        <v>1</v>
      </c>
      <c r="BL574">
        <f t="shared" si="305"/>
        <v>2</v>
      </c>
      <c r="BM574">
        <f t="shared" si="305"/>
        <v>2</v>
      </c>
      <c r="BN574">
        <f t="shared" si="305"/>
        <v>2</v>
      </c>
      <c r="BO574">
        <f t="shared" si="305"/>
        <v>2</v>
      </c>
    </row>
    <row r="575">
      <c r="BA575">
        <f t="shared" ref="BA575:BH575" si="306">BA539-1</f>
        <v>-1</v>
      </c>
      <c r="BB575">
        <f t="shared" si="306"/>
        <v>-1</v>
      </c>
      <c r="BC575">
        <f t="shared" si="306"/>
        <v>3</v>
      </c>
      <c r="BD575">
        <f t="shared" si="306"/>
        <v>3</v>
      </c>
      <c r="BE575">
        <f t="shared" si="306"/>
        <v>3</v>
      </c>
      <c r="BF575">
        <f t="shared" si="306"/>
        <v>-1</v>
      </c>
      <c r="BG575">
        <f t="shared" si="306"/>
        <v>-1</v>
      </c>
      <c r="BH575">
        <f t="shared" si="306"/>
        <v>3</v>
      </c>
      <c r="BK575">
        <f t="shared" ref="BK575:BO575" si="307">BK539-1</f>
        <v>-1</v>
      </c>
      <c r="BL575">
        <f t="shared" si="307"/>
        <v>-1</v>
      </c>
      <c r="BM575">
        <f t="shared" si="307"/>
        <v>-1</v>
      </c>
      <c r="BN575">
        <f t="shared" si="307"/>
        <v>-1</v>
      </c>
      <c r="BO575">
        <f t="shared" si="307"/>
        <v>-1</v>
      </c>
    </row>
    <row r="576">
      <c r="BA576">
        <f t="shared" ref="BA576:BH576" si="308">BA540-1</f>
        <v>0</v>
      </c>
      <c r="BB576">
        <f t="shared" si="308"/>
        <v>0</v>
      </c>
      <c r="BC576">
        <f t="shared" si="308"/>
        <v>3</v>
      </c>
      <c r="BD576">
        <f t="shared" si="308"/>
        <v>3</v>
      </c>
      <c r="BE576">
        <f t="shared" si="308"/>
        <v>0</v>
      </c>
      <c r="BF576">
        <f t="shared" si="308"/>
        <v>3</v>
      </c>
      <c r="BG576">
        <f t="shared" si="308"/>
        <v>3</v>
      </c>
      <c r="BH576">
        <f t="shared" si="308"/>
        <v>3</v>
      </c>
      <c r="BK576">
        <f t="shared" ref="BK576:BO576" si="309">BK540-1</f>
        <v>4</v>
      </c>
      <c r="BL576">
        <f t="shared" si="309"/>
        <v>1</v>
      </c>
      <c r="BM576">
        <f t="shared" si="309"/>
        <v>4</v>
      </c>
      <c r="BN576">
        <f t="shared" si="309"/>
        <v>1</v>
      </c>
      <c r="BO576">
        <f t="shared" si="309"/>
        <v>2</v>
      </c>
    </row>
    <row r="577">
      <c r="BA577">
        <f t="shared" ref="BA577:BH577" si="310">BA541-1</f>
        <v>2</v>
      </c>
      <c r="BB577">
        <f t="shared" si="310"/>
        <v>2</v>
      </c>
      <c r="BC577">
        <f t="shared" si="310"/>
        <v>4</v>
      </c>
      <c r="BD577">
        <f t="shared" si="310"/>
        <v>2</v>
      </c>
      <c r="BE577">
        <f t="shared" si="310"/>
        <v>2</v>
      </c>
      <c r="BF577">
        <f t="shared" si="310"/>
        <v>4</v>
      </c>
      <c r="BG577">
        <f t="shared" si="310"/>
        <v>2</v>
      </c>
      <c r="BH577">
        <f t="shared" si="310"/>
        <v>2</v>
      </c>
      <c r="BK577">
        <f t="shared" ref="BK577:BO577" si="311">BK541-1</f>
        <v>1</v>
      </c>
      <c r="BL577">
        <f t="shared" si="311"/>
        <v>0</v>
      </c>
      <c r="BM577">
        <f t="shared" si="311"/>
        <v>-1</v>
      </c>
      <c r="BN577">
        <f t="shared" si="311"/>
        <v>-1</v>
      </c>
      <c r="BO577">
        <f t="shared" si="311"/>
        <v>-1</v>
      </c>
    </row>
    <row r="578">
      <c r="BA578">
        <f t="shared" ref="BA578:BH578" si="312">BA542-1</f>
        <v>3</v>
      </c>
      <c r="BB578">
        <f t="shared" si="312"/>
        <v>2</v>
      </c>
      <c r="BC578">
        <f t="shared" si="312"/>
        <v>3</v>
      </c>
      <c r="BD578">
        <f t="shared" si="312"/>
        <v>3</v>
      </c>
      <c r="BE578">
        <f t="shared" si="312"/>
        <v>2</v>
      </c>
      <c r="BF578">
        <f t="shared" si="312"/>
        <v>2</v>
      </c>
      <c r="BG578">
        <f t="shared" si="312"/>
        <v>2</v>
      </c>
      <c r="BH578">
        <f t="shared" si="312"/>
        <v>3</v>
      </c>
      <c r="BK578">
        <f t="shared" ref="BK578:BO578" si="313">BK542-1</f>
        <v>-1</v>
      </c>
      <c r="BL578">
        <f t="shared" si="313"/>
        <v>-1</v>
      </c>
      <c r="BM578">
        <f t="shared" si="313"/>
        <v>-1</v>
      </c>
      <c r="BN578">
        <f t="shared" si="313"/>
        <v>-1</v>
      </c>
      <c r="BO578">
        <f t="shared" si="313"/>
        <v>-1</v>
      </c>
    </row>
    <row r="579">
      <c r="BA579">
        <f t="shared" ref="BA579:BH579" si="314">BA543-1</f>
        <v>3</v>
      </c>
      <c r="BB579">
        <f t="shared" si="314"/>
        <v>4</v>
      </c>
      <c r="BC579">
        <f t="shared" si="314"/>
        <v>3</v>
      </c>
      <c r="BD579">
        <f t="shared" si="314"/>
        <v>4</v>
      </c>
      <c r="BE579">
        <f t="shared" si="314"/>
        <v>2</v>
      </c>
      <c r="BF579">
        <f t="shared" si="314"/>
        <v>2</v>
      </c>
      <c r="BG579">
        <f t="shared" si="314"/>
        <v>2</v>
      </c>
      <c r="BH579">
        <f t="shared" si="314"/>
        <v>2</v>
      </c>
      <c r="BK579">
        <f t="shared" ref="BK579:BO579" si="315">BK543-1</f>
        <v>-1</v>
      </c>
      <c r="BL579">
        <f t="shared" si="315"/>
        <v>2</v>
      </c>
      <c r="BM579">
        <f t="shared" si="315"/>
        <v>3</v>
      </c>
      <c r="BN579">
        <f t="shared" si="315"/>
        <v>0</v>
      </c>
      <c r="BO579">
        <f t="shared" si="315"/>
        <v>3</v>
      </c>
    </row>
    <row r="580">
      <c r="BA580">
        <f t="shared" ref="BA580:BH580" si="316">BA544-1</f>
        <v>4</v>
      </c>
      <c r="BB580">
        <f t="shared" si="316"/>
        <v>5</v>
      </c>
      <c r="BC580">
        <f t="shared" si="316"/>
        <v>5</v>
      </c>
      <c r="BD580">
        <f t="shared" si="316"/>
        <v>5</v>
      </c>
      <c r="BE580">
        <f t="shared" si="316"/>
        <v>3</v>
      </c>
      <c r="BF580">
        <f t="shared" si="316"/>
        <v>5</v>
      </c>
      <c r="BG580">
        <f t="shared" si="316"/>
        <v>5</v>
      </c>
      <c r="BH580">
        <f t="shared" si="316"/>
        <v>5</v>
      </c>
      <c r="BK580">
        <f t="shared" ref="BK580:BO580" si="317">BK544-1</f>
        <v>5</v>
      </c>
      <c r="BL580">
        <f t="shared" si="317"/>
        <v>3</v>
      </c>
      <c r="BM580">
        <f t="shared" si="317"/>
        <v>5</v>
      </c>
      <c r="BN580">
        <f t="shared" si="317"/>
        <v>5</v>
      </c>
      <c r="BO580">
        <f t="shared" si="317"/>
        <v>3</v>
      </c>
    </row>
    <row r="581">
      <c r="BA581">
        <f t="shared" ref="BA581:BH581" si="318">BA545-1</f>
        <v>4</v>
      </c>
      <c r="BB581">
        <f t="shared" si="318"/>
        <v>5</v>
      </c>
      <c r="BC581">
        <f t="shared" si="318"/>
        <v>5</v>
      </c>
      <c r="BD581">
        <f t="shared" si="318"/>
        <v>5</v>
      </c>
      <c r="BE581">
        <f t="shared" si="318"/>
        <v>4</v>
      </c>
      <c r="BF581">
        <f t="shared" si="318"/>
        <v>5</v>
      </c>
      <c r="BG581">
        <f t="shared" si="318"/>
        <v>5</v>
      </c>
      <c r="BH581">
        <f t="shared" si="318"/>
        <v>5</v>
      </c>
      <c r="BK581">
        <f t="shared" ref="BK581:BO581" si="319">BK545-1</f>
        <v>5</v>
      </c>
      <c r="BL581">
        <f t="shared" si="319"/>
        <v>5</v>
      </c>
      <c r="BM581">
        <f t="shared" si="319"/>
        <v>5</v>
      </c>
      <c r="BN581">
        <f t="shared" si="319"/>
        <v>5</v>
      </c>
      <c r="BO581">
        <f t="shared" si="319"/>
        <v>5</v>
      </c>
    </row>
    <row r="582">
      <c r="BA582">
        <f t="shared" ref="BA582:BH582" si="320">BA546-1</f>
        <v>-1</v>
      </c>
      <c r="BB582">
        <f t="shared" si="320"/>
        <v>5</v>
      </c>
      <c r="BC582">
        <f t="shared" si="320"/>
        <v>5</v>
      </c>
      <c r="BD582">
        <f t="shared" si="320"/>
        <v>4</v>
      </c>
      <c r="BE582">
        <f t="shared" si="320"/>
        <v>5</v>
      </c>
      <c r="BF582">
        <f t="shared" si="320"/>
        <v>5</v>
      </c>
      <c r="BG582">
        <f t="shared" si="320"/>
        <v>5</v>
      </c>
      <c r="BH582">
        <f t="shared" si="320"/>
        <v>5</v>
      </c>
      <c r="BK582">
        <f t="shared" ref="BK582:BO582" si="321">BK546-1</f>
        <v>5</v>
      </c>
      <c r="BL582">
        <f t="shared" si="321"/>
        <v>5</v>
      </c>
      <c r="BM582">
        <f t="shared" si="321"/>
        <v>5</v>
      </c>
      <c r="BN582">
        <f t="shared" si="321"/>
        <v>5</v>
      </c>
      <c r="BO582">
        <f t="shared" si="321"/>
        <v>5</v>
      </c>
    </row>
    <row r="583">
      <c r="BA583">
        <f t="shared" ref="BA583:BH583" si="322">BA547-1</f>
        <v>2</v>
      </c>
      <c r="BB583">
        <f t="shared" si="322"/>
        <v>2</v>
      </c>
      <c r="BC583">
        <f t="shared" si="322"/>
        <v>2</v>
      </c>
      <c r="BD583">
        <f t="shared" si="322"/>
        <v>2</v>
      </c>
      <c r="BE583">
        <f t="shared" si="322"/>
        <v>4</v>
      </c>
      <c r="BF583">
        <f t="shared" si="322"/>
        <v>2</v>
      </c>
      <c r="BG583">
        <f t="shared" si="322"/>
        <v>2</v>
      </c>
      <c r="BH583">
        <f t="shared" si="322"/>
        <v>2</v>
      </c>
      <c r="BK583">
        <f t="shared" ref="BK583:BO583" si="323">BK547-1</f>
        <v>0</v>
      </c>
      <c r="BL583">
        <f t="shared" si="323"/>
        <v>2</v>
      </c>
      <c r="BM583">
        <f t="shared" si="323"/>
        <v>5</v>
      </c>
      <c r="BN583">
        <f t="shared" si="323"/>
        <v>1</v>
      </c>
      <c r="BO583">
        <f t="shared" si="323"/>
        <v>-1</v>
      </c>
    </row>
    <row r="584">
      <c r="BA584">
        <f t="shared" ref="BA584:BH584" si="324">BA548-1</f>
        <v>3</v>
      </c>
      <c r="BB584">
        <f t="shared" si="324"/>
        <v>-1</v>
      </c>
      <c r="BC584">
        <f t="shared" si="324"/>
        <v>-1</v>
      </c>
      <c r="BD584">
        <f t="shared" si="324"/>
        <v>-1</v>
      </c>
      <c r="BE584">
        <f t="shared" si="324"/>
        <v>-1</v>
      </c>
      <c r="BF584">
        <f t="shared" si="324"/>
        <v>-1</v>
      </c>
      <c r="BG584">
        <f t="shared" si="324"/>
        <v>-1</v>
      </c>
      <c r="BH584">
        <f t="shared" si="324"/>
        <v>-1</v>
      </c>
      <c r="BK584">
        <f t="shared" ref="BK584:BO584" si="325">BK548-1</f>
        <v>-1</v>
      </c>
      <c r="BL584">
        <f t="shared" si="325"/>
        <v>-1</v>
      </c>
      <c r="BM584">
        <f t="shared" si="325"/>
        <v>2</v>
      </c>
      <c r="BN584">
        <f t="shared" si="325"/>
        <v>-1</v>
      </c>
      <c r="BO584">
        <f t="shared" si="325"/>
        <v>-1</v>
      </c>
    </row>
    <row r="585">
      <c r="BA585">
        <f t="shared" ref="BA585:BH585" si="326">BA549-1</f>
        <v>0</v>
      </c>
      <c r="BB585">
        <f t="shared" si="326"/>
        <v>0</v>
      </c>
      <c r="BC585">
        <f t="shared" si="326"/>
        <v>3</v>
      </c>
      <c r="BD585">
        <f t="shared" si="326"/>
        <v>0</v>
      </c>
      <c r="BE585">
        <f t="shared" si="326"/>
        <v>0</v>
      </c>
      <c r="BF585">
        <f t="shared" si="326"/>
        <v>3</v>
      </c>
      <c r="BG585">
        <f t="shared" si="326"/>
        <v>3</v>
      </c>
      <c r="BH585">
        <f t="shared" si="326"/>
        <v>3</v>
      </c>
      <c r="BK585">
        <f t="shared" ref="BK585:BO585" si="327">BK549-1</f>
        <v>1</v>
      </c>
      <c r="BL585">
        <f t="shared" si="327"/>
        <v>1</v>
      </c>
      <c r="BM585">
        <f t="shared" si="327"/>
        <v>-1</v>
      </c>
      <c r="BN585">
        <f t="shared" si="327"/>
        <v>-1</v>
      </c>
      <c r="BO585">
        <f t="shared" si="327"/>
        <v>1</v>
      </c>
    </row>
    <row r="586">
      <c r="BA586">
        <f t="shared" ref="BA586:BH586" si="328">BA550-1</f>
        <v>0</v>
      </c>
      <c r="BB586">
        <f t="shared" si="328"/>
        <v>4</v>
      </c>
      <c r="BC586">
        <f t="shared" si="328"/>
        <v>4</v>
      </c>
      <c r="BD586">
        <f t="shared" si="328"/>
        <v>4</v>
      </c>
      <c r="BE586">
        <f t="shared" si="328"/>
        <v>4</v>
      </c>
      <c r="BF586">
        <f t="shared" si="328"/>
        <v>5</v>
      </c>
      <c r="BG586">
        <f t="shared" si="328"/>
        <v>5</v>
      </c>
      <c r="BH586">
        <f t="shared" si="328"/>
        <v>5</v>
      </c>
      <c r="BK586">
        <f t="shared" ref="BK586:BO586" si="329">BK550-1</f>
        <v>2</v>
      </c>
      <c r="BL586">
        <f t="shared" si="329"/>
        <v>1</v>
      </c>
      <c r="BM586">
        <f t="shared" si="329"/>
        <v>4</v>
      </c>
      <c r="BN586">
        <f t="shared" si="329"/>
        <v>5</v>
      </c>
      <c r="BO586">
        <f t="shared" si="329"/>
        <v>5</v>
      </c>
    </row>
    <row r="587">
      <c r="BA587">
        <f t="shared" ref="BA587:BH587" si="330">BA551-1</f>
        <v>-1</v>
      </c>
      <c r="BB587">
        <f t="shared" si="330"/>
        <v>2</v>
      </c>
      <c r="BC587">
        <f t="shared" si="330"/>
        <v>4</v>
      </c>
      <c r="BD587">
        <f t="shared" si="330"/>
        <v>0</v>
      </c>
      <c r="BE587">
        <f t="shared" si="330"/>
        <v>0</v>
      </c>
      <c r="BF587">
        <f t="shared" si="330"/>
        <v>2</v>
      </c>
      <c r="BG587">
        <f t="shared" si="330"/>
        <v>3</v>
      </c>
      <c r="BH587">
        <f t="shared" si="330"/>
        <v>2</v>
      </c>
      <c r="BK587">
        <f t="shared" ref="BK587:BO587" si="331">BK551-1</f>
        <v>0</v>
      </c>
      <c r="BL587">
        <f t="shared" si="331"/>
        <v>0</v>
      </c>
      <c r="BM587">
        <f t="shared" si="331"/>
        <v>0</v>
      </c>
      <c r="BN587">
        <f t="shared" si="331"/>
        <v>0</v>
      </c>
      <c r="BO587">
        <f t="shared" si="331"/>
        <v>0</v>
      </c>
    </row>
    <row r="588">
      <c r="BA588">
        <f t="shared" ref="BA588:BH588" si="332">BA552-1</f>
        <v>3</v>
      </c>
      <c r="BB588">
        <f t="shared" si="332"/>
        <v>4</v>
      </c>
      <c r="BC588">
        <f t="shared" si="332"/>
        <v>4</v>
      </c>
      <c r="BD588">
        <f t="shared" si="332"/>
        <v>4</v>
      </c>
      <c r="BE588">
        <f t="shared" si="332"/>
        <v>2</v>
      </c>
      <c r="BF588">
        <f t="shared" si="332"/>
        <v>2</v>
      </c>
      <c r="BG588">
        <f t="shared" si="332"/>
        <v>2</v>
      </c>
      <c r="BH588">
        <f t="shared" si="332"/>
        <v>2</v>
      </c>
      <c r="BK588">
        <f t="shared" ref="BK588:BO588" si="333">BK552-1</f>
        <v>1</v>
      </c>
      <c r="BL588">
        <f t="shared" si="333"/>
        <v>1</v>
      </c>
      <c r="BM588">
        <f t="shared" si="333"/>
        <v>0</v>
      </c>
      <c r="BN588">
        <f t="shared" si="333"/>
        <v>2</v>
      </c>
      <c r="BO588">
        <f t="shared" si="333"/>
        <v>1</v>
      </c>
    </row>
    <row r="589">
      <c r="BA589">
        <f t="shared" ref="BA589:BH589" si="334">BA553-1</f>
        <v>0</v>
      </c>
      <c r="BB589">
        <f t="shared" si="334"/>
        <v>4</v>
      </c>
      <c r="BC589">
        <f t="shared" si="334"/>
        <v>5</v>
      </c>
      <c r="BD589">
        <f t="shared" si="334"/>
        <v>5</v>
      </c>
      <c r="BE589">
        <f t="shared" si="334"/>
        <v>4</v>
      </c>
      <c r="BF589">
        <f t="shared" si="334"/>
        <v>5</v>
      </c>
      <c r="BG589">
        <f t="shared" si="334"/>
        <v>5</v>
      </c>
      <c r="BH589">
        <f t="shared" si="334"/>
        <v>5</v>
      </c>
      <c r="BK589">
        <f t="shared" ref="BK589:BO589" si="335">BK553-1</f>
        <v>-1</v>
      </c>
      <c r="BL589">
        <f t="shared" si="335"/>
        <v>5</v>
      </c>
      <c r="BM589">
        <f t="shared" si="335"/>
        <v>5</v>
      </c>
      <c r="BN589">
        <f t="shared" si="335"/>
        <v>4</v>
      </c>
      <c r="BO589">
        <f t="shared" si="335"/>
        <v>4</v>
      </c>
    </row>
    <row r="590">
      <c r="BA590">
        <f t="shared" ref="BA590:BH590" si="336">BA554-1</f>
        <v>-1</v>
      </c>
      <c r="BB590">
        <f t="shared" si="336"/>
        <v>2</v>
      </c>
      <c r="BC590">
        <f t="shared" si="336"/>
        <v>2</v>
      </c>
      <c r="BD590">
        <f t="shared" si="336"/>
        <v>0</v>
      </c>
      <c r="BE590">
        <f t="shared" si="336"/>
        <v>3</v>
      </c>
      <c r="BF590">
        <f t="shared" si="336"/>
        <v>4</v>
      </c>
      <c r="BG590">
        <f t="shared" si="336"/>
        <v>5</v>
      </c>
      <c r="BH590">
        <f t="shared" si="336"/>
        <v>4</v>
      </c>
      <c r="BK590">
        <f t="shared" ref="BK590:BO590" si="337">BK554-1</f>
        <v>-1</v>
      </c>
      <c r="BL590">
        <f t="shared" si="337"/>
        <v>0</v>
      </c>
      <c r="BM590">
        <f t="shared" si="337"/>
        <v>0</v>
      </c>
      <c r="BN590">
        <f t="shared" si="337"/>
        <v>0</v>
      </c>
      <c r="BO590">
        <f t="shared" si="337"/>
        <v>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5.0"/>
    <col customWidth="1" min="5" max="5" width="25.88"/>
    <col customWidth="1" min="6" max="6" width="21.63"/>
  </cols>
  <sheetData>
    <row r="1">
      <c r="A1" s="60" t="s">
        <v>226</v>
      </c>
      <c r="B1" s="60" t="s">
        <v>227</v>
      </c>
      <c r="C1" s="60" t="s">
        <v>228</v>
      </c>
      <c r="D1" s="60" t="s">
        <v>229</v>
      </c>
      <c r="E1" s="60" t="s">
        <v>230</v>
      </c>
      <c r="F1" s="60" t="s">
        <v>231</v>
      </c>
      <c r="G1" s="61"/>
      <c r="H1" s="61"/>
      <c r="I1" s="61"/>
    </row>
    <row r="2">
      <c r="A2" s="62" t="s">
        <v>232</v>
      </c>
      <c r="B2" s="63">
        <v>37.0</v>
      </c>
      <c r="C2" s="63">
        <v>69.0</v>
      </c>
      <c r="D2" s="63">
        <v>0.0</v>
      </c>
      <c r="E2" s="64"/>
      <c r="F2" s="63">
        <v>16.0</v>
      </c>
      <c r="G2" s="61"/>
      <c r="H2" s="61"/>
      <c r="I2" s="61"/>
    </row>
    <row r="3">
      <c r="A3" s="62" t="s">
        <v>233</v>
      </c>
      <c r="B3" s="65">
        <v>35.0</v>
      </c>
      <c r="C3" s="65">
        <v>115.0</v>
      </c>
      <c r="D3" s="65">
        <v>0.0</v>
      </c>
      <c r="E3" s="65"/>
      <c r="F3" s="65">
        <v>4.0</v>
      </c>
      <c r="G3" s="65"/>
      <c r="H3" s="61"/>
      <c r="I3" s="61"/>
    </row>
    <row r="4">
      <c r="A4" s="62" t="s">
        <v>234</v>
      </c>
      <c r="B4" s="65">
        <v>31.0</v>
      </c>
      <c r="C4" s="65">
        <v>74.0</v>
      </c>
      <c r="D4" s="65">
        <v>0.0</v>
      </c>
      <c r="E4" s="65"/>
      <c r="F4" s="65">
        <v>30.0</v>
      </c>
      <c r="G4" s="65"/>
      <c r="H4" s="61"/>
      <c r="I4" s="61"/>
    </row>
    <row r="5">
      <c r="A5" s="62" t="s">
        <v>235</v>
      </c>
      <c r="B5" s="65">
        <v>31.0</v>
      </c>
      <c r="C5" s="65">
        <v>51.0</v>
      </c>
      <c r="D5" s="65">
        <v>1.0</v>
      </c>
      <c r="E5" s="65"/>
      <c r="F5" s="65">
        <v>4.0</v>
      </c>
      <c r="G5" s="65"/>
      <c r="H5" s="61"/>
      <c r="I5" s="61"/>
    </row>
    <row r="6">
      <c r="A6" s="62" t="s">
        <v>236</v>
      </c>
      <c r="B6" s="65">
        <v>32.0</v>
      </c>
      <c r="C6" s="65">
        <v>78.0</v>
      </c>
      <c r="D6" s="65">
        <v>0.0</v>
      </c>
      <c r="E6" s="65"/>
      <c r="F6" s="65">
        <v>4.0</v>
      </c>
      <c r="G6" s="65"/>
      <c r="H6" s="61"/>
      <c r="I6" s="61"/>
    </row>
    <row r="7">
      <c r="A7" s="62" t="s">
        <v>237</v>
      </c>
      <c r="B7" s="65">
        <v>37.0</v>
      </c>
      <c r="C7" s="65">
        <v>67.0</v>
      </c>
      <c r="D7" s="65">
        <v>0.0</v>
      </c>
      <c r="E7" s="65"/>
      <c r="F7" s="65">
        <v>1.0</v>
      </c>
      <c r="G7" s="65"/>
      <c r="H7" s="61"/>
      <c r="I7" s="61"/>
    </row>
    <row r="8">
      <c r="A8" s="62" t="s">
        <v>238</v>
      </c>
      <c r="B8" s="65">
        <v>33.0</v>
      </c>
      <c r="C8" s="65">
        <v>55.0</v>
      </c>
      <c r="D8" s="65">
        <v>1.0</v>
      </c>
      <c r="E8" s="65"/>
      <c r="F8" s="65">
        <v>1.0</v>
      </c>
      <c r="G8" s="65"/>
      <c r="H8" s="61"/>
      <c r="I8" s="61"/>
    </row>
    <row r="9">
      <c r="A9" s="62" t="s">
        <v>239</v>
      </c>
      <c r="B9" s="65">
        <v>22.0</v>
      </c>
      <c r="C9" s="65">
        <v>75.0</v>
      </c>
      <c r="D9" s="65">
        <v>0.0</v>
      </c>
      <c r="E9" s="65"/>
      <c r="F9" s="65">
        <v>1.0</v>
      </c>
      <c r="G9" s="65"/>
    </row>
    <row r="10">
      <c r="A10" s="62" t="s">
        <v>240</v>
      </c>
      <c r="B10" s="65">
        <v>26.0</v>
      </c>
      <c r="C10" s="65">
        <v>73.0</v>
      </c>
      <c r="D10" s="65">
        <v>0.0</v>
      </c>
      <c r="E10" s="65"/>
      <c r="F10" s="65">
        <v>2.0</v>
      </c>
      <c r="G10" s="61"/>
      <c r="H10" s="61"/>
      <c r="I10" s="61"/>
    </row>
    <row r="11">
      <c r="A11" s="62" t="s">
        <v>11</v>
      </c>
      <c r="B11" s="65">
        <v>28.0</v>
      </c>
      <c r="C11" s="65">
        <v>72.0</v>
      </c>
      <c r="D11" s="65">
        <v>0.0</v>
      </c>
      <c r="E11" s="65"/>
      <c r="F11" s="65">
        <v>2.0</v>
      </c>
      <c r="G11" s="61"/>
      <c r="H11" s="61"/>
      <c r="I11" s="61"/>
    </row>
    <row r="12">
      <c r="A12" s="62" t="s">
        <v>12</v>
      </c>
      <c r="B12" s="65">
        <v>30.0</v>
      </c>
      <c r="C12" s="65">
        <v>70.0</v>
      </c>
      <c r="D12" s="65">
        <v>0.0</v>
      </c>
      <c r="E12" s="65"/>
      <c r="F12" s="65">
        <v>2.0</v>
      </c>
      <c r="G12" s="65"/>
      <c r="H12" s="61"/>
      <c r="I12" s="61"/>
    </row>
    <row r="13">
      <c r="A13" s="62" t="s">
        <v>241</v>
      </c>
      <c r="B13" s="65">
        <v>34.0</v>
      </c>
      <c r="C13" s="65">
        <v>70.0</v>
      </c>
      <c r="D13" s="65">
        <v>1.0</v>
      </c>
      <c r="E13" s="65"/>
      <c r="F13" s="65">
        <v>3.0</v>
      </c>
      <c r="G13" s="65"/>
      <c r="I13" s="61"/>
    </row>
    <row r="14">
      <c r="A14" s="62" t="s">
        <v>14</v>
      </c>
      <c r="B14" s="65">
        <v>37.0</v>
      </c>
      <c r="C14" s="65">
        <v>73.0</v>
      </c>
      <c r="D14" s="65">
        <v>0.0</v>
      </c>
      <c r="E14" s="65"/>
      <c r="F14" s="65">
        <v>1.0</v>
      </c>
      <c r="G14" s="65"/>
      <c r="I14" s="61"/>
    </row>
    <row r="15">
      <c r="A15" s="62" t="s">
        <v>242</v>
      </c>
      <c r="B15" s="65">
        <v>50.0</v>
      </c>
      <c r="C15" s="65">
        <v>80.0</v>
      </c>
      <c r="D15" s="65">
        <v>1.0</v>
      </c>
      <c r="E15" s="65">
        <v>1.0</v>
      </c>
      <c r="F15" s="65"/>
      <c r="G15" s="65"/>
      <c r="I15" s="61"/>
    </row>
    <row r="16">
      <c r="A16" s="62" t="s">
        <v>16</v>
      </c>
      <c r="B16" s="65">
        <v>35.0</v>
      </c>
      <c r="C16" s="65">
        <v>84.0</v>
      </c>
      <c r="D16" s="65">
        <v>0.0</v>
      </c>
      <c r="E16" s="65">
        <v>1.0</v>
      </c>
      <c r="F16" s="65">
        <v>1.0</v>
      </c>
      <c r="G16" s="65"/>
    </row>
    <row r="17">
      <c r="A17" s="62" t="s">
        <v>17</v>
      </c>
      <c r="B17" s="65">
        <v>38.0</v>
      </c>
      <c r="C17" s="65">
        <v>85.0</v>
      </c>
      <c r="D17" s="65">
        <v>0.0</v>
      </c>
      <c r="E17" s="65"/>
      <c r="F17" s="65">
        <v>1.0</v>
      </c>
      <c r="G17" s="65"/>
      <c r="H17" s="61"/>
      <c r="I17" s="61"/>
    </row>
    <row r="18">
      <c r="A18" s="62" t="s">
        <v>18</v>
      </c>
      <c r="B18" s="65">
        <v>34.0</v>
      </c>
      <c r="C18" s="65">
        <v>82.0</v>
      </c>
      <c r="D18" s="65">
        <v>0.0</v>
      </c>
      <c r="E18" s="65"/>
      <c r="F18" s="65">
        <v>1.0</v>
      </c>
      <c r="G18" s="65"/>
      <c r="I18" s="61"/>
    </row>
    <row r="19">
      <c r="A19" s="62" t="s">
        <v>243</v>
      </c>
      <c r="B19" s="65">
        <v>24.0</v>
      </c>
      <c r="C19" s="65">
        <v>50.0</v>
      </c>
      <c r="D19" s="65">
        <v>1.0</v>
      </c>
      <c r="E19" s="65"/>
      <c r="F19" s="65">
        <v>1.0</v>
      </c>
      <c r="G19" s="65"/>
      <c r="I19" s="61"/>
    </row>
    <row r="20">
      <c r="A20" s="62" t="s">
        <v>20</v>
      </c>
      <c r="B20" s="65">
        <v>30.0</v>
      </c>
      <c r="C20" s="65">
        <v>67.0</v>
      </c>
      <c r="D20" s="65">
        <v>0.0</v>
      </c>
      <c r="E20" s="65"/>
      <c r="F20" s="65">
        <v>1.0</v>
      </c>
      <c r="G20" s="65"/>
      <c r="H20" s="64"/>
      <c r="I20" s="61"/>
    </row>
    <row r="21">
      <c r="A21" s="62" t="s">
        <v>21</v>
      </c>
      <c r="B21" s="65">
        <v>28.0</v>
      </c>
      <c r="C21" s="65">
        <v>75.0</v>
      </c>
      <c r="D21" s="65">
        <v>0.0</v>
      </c>
      <c r="E21" s="65">
        <v>2.0</v>
      </c>
      <c r="F21" s="65">
        <v>1.0</v>
      </c>
      <c r="G21" s="65"/>
      <c r="I21" s="61"/>
    </row>
    <row r="22">
      <c r="A22" s="62" t="s">
        <v>22</v>
      </c>
      <c r="B22" s="65">
        <v>27.0</v>
      </c>
      <c r="C22" s="65">
        <v>75.0</v>
      </c>
      <c r="D22" s="65">
        <v>0.0</v>
      </c>
      <c r="E22" s="65">
        <v>3.0</v>
      </c>
      <c r="F22" s="65">
        <v>2.0</v>
      </c>
      <c r="G22" s="61"/>
      <c r="H22" s="61"/>
      <c r="I22" s="61"/>
    </row>
    <row r="23">
      <c r="A23" s="62" t="s">
        <v>23</v>
      </c>
      <c r="B23" s="65">
        <v>36.0</v>
      </c>
      <c r="C23" s="65">
        <v>65.0</v>
      </c>
      <c r="D23" s="65">
        <v>0.0</v>
      </c>
      <c r="E23" s="65"/>
      <c r="F23" s="65">
        <v>1.0</v>
      </c>
      <c r="G23" s="65"/>
      <c r="H23" s="61"/>
      <c r="I23" s="61"/>
    </row>
    <row r="24">
      <c r="A24" s="62" t="s">
        <v>24</v>
      </c>
      <c r="B24" s="65">
        <v>35.0</v>
      </c>
      <c r="C24" s="65"/>
      <c r="D24" s="65">
        <v>0.0</v>
      </c>
      <c r="E24" s="65"/>
      <c r="F24" s="65">
        <v>1.0</v>
      </c>
      <c r="G24" s="61"/>
      <c r="H24" s="61"/>
      <c r="I24" s="61"/>
    </row>
    <row r="25">
      <c r="A25" s="62" t="s">
        <v>25</v>
      </c>
      <c r="B25" s="65">
        <v>31.0</v>
      </c>
      <c r="C25" s="65">
        <v>75.0</v>
      </c>
      <c r="D25" s="65">
        <v>0.0</v>
      </c>
      <c r="E25" s="65"/>
      <c r="F25" s="65">
        <v>1.0</v>
      </c>
      <c r="G25" s="65"/>
      <c r="I25" s="61"/>
    </row>
    <row r="26">
      <c r="A26" s="62" t="s">
        <v>26</v>
      </c>
      <c r="B26" s="65">
        <v>53.0</v>
      </c>
      <c r="C26" s="65">
        <v>86.0</v>
      </c>
      <c r="D26" s="65">
        <v>0.0</v>
      </c>
      <c r="E26" s="65">
        <v>600.0</v>
      </c>
      <c r="F26" s="65">
        <v>10.0</v>
      </c>
      <c r="G26" s="65"/>
    </row>
    <row r="27">
      <c r="A27" s="62" t="s">
        <v>244</v>
      </c>
      <c r="B27" s="65">
        <v>34.0</v>
      </c>
      <c r="C27" s="65">
        <v>45.0</v>
      </c>
      <c r="D27" s="65">
        <v>1.0</v>
      </c>
      <c r="E27" s="65">
        <v>300.0</v>
      </c>
      <c r="F27" s="65">
        <v>5.0</v>
      </c>
      <c r="G27" s="65"/>
    </row>
    <row r="28">
      <c r="A28" s="62" t="s">
        <v>245</v>
      </c>
      <c r="B28" s="65">
        <v>38.0</v>
      </c>
      <c r="C28" s="65">
        <v>49.0</v>
      </c>
      <c r="D28" s="65">
        <v>1.0</v>
      </c>
      <c r="E28" s="65">
        <v>3.0</v>
      </c>
      <c r="F28" s="65">
        <v>2.0</v>
      </c>
      <c r="G28" s="65"/>
    </row>
    <row r="29">
      <c r="A29" s="62" t="s">
        <v>29</v>
      </c>
      <c r="B29" s="65">
        <v>28.0</v>
      </c>
      <c r="C29" s="65">
        <v>71.0</v>
      </c>
      <c r="D29" s="65">
        <v>0.0</v>
      </c>
      <c r="E29" s="65">
        <v>2.0</v>
      </c>
      <c r="F29" s="65">
        <v>2.0</v>
      </c>
      <c r="G29" s="65"/>
    </row>
    <row r="30">
      <c r="A30" s="62" t="s">
        <v>30</v>
      </c>
      <c r="B30" s="65">
        <v>35.0</v>
      </c>
      <c r="C30" s="65">
        <v>62.0</v>
      </c>
      <c r="D30" s="65">
        <v>0.0</v>
      </c>
      <c r="E30" s="65"/>
      <c r="F30" s="65">
        <v>1.0</v>
      </c>
      <c r="G30" s="65"/>
      <c r="H30" s="61"/>
      <c r="I30" s="61"/>
    </row>
    <row r="31">
      <c r="A31" s="62" t="s">
        <v>31</v>
      </c>
      <c r="B31" s="65">
        <v>32.0</v>
      </c>
      <c r="C31" s="65">
        <v>80.0</v>
      </c>
      <c r="D31" s="65">
        <v>0.0</v>
      </c>
      <c r="E31" s="65">
        <v>5.0</v>
      </c>
      <c r="F31" s="65">
        <v>3.0</v>
      </c>
      <c r="G31" s="65"/>
      <c r="I31" s="61"/>
    </row>
    <row r="32">
      <c r="A32" s="62" t="s">
        <v>32</v>
      </c>
      <c r="B32" s="65">
        <v>29.0</v>
      </c>
      <c r="C32" s="65">
        <v>60.0</v>
      </c>
      <c r="D32" s="65">
        <v>0.0</v>
      </c>
      <c r="E32" s="65">
        <v>5.0</v>
      </c>
      <c r="F32" s="65">
        <v>10.0</v>
      </c>
      <c r="G32" s="65"/>
      <c r="I32" s="61"/>
    </row>
    <row r="33">
      <c r="A33" s="62" t="s">
        <v>33</v>
      </c>
      <c r="B33" s="65">
        <v>32.0</v>
      </c>
      <c r="C33" s="65">
        <v>60.0</v>
      </c>
      <c r="D33" s="65">
        <v>0.0</v>
      </c>
      <c r="E33" s="65"/>
      <c r="F33" s="65">
        <v>2.0</v>
      </c>
      <c r="G33" s="65"/>
    </row>
    <row r="34">
      <c r="A34" s="62" t="s">
        <v>34</v>
      </c>
      <c r="B34" s="65">
        <v>34.0</v>
      </c>
      <c r="C34" s="65">
        <v>85.0</v>
      </c>
      <c r="D34" s="65">
        <v>0.0</v>
      </c>
      <c r="E34" s="65"/>
      <c r="F34" s="65">
        <v>3.0</v>
      </c>
      <c r="G34" s="65"/>
    </row>
    <row r="35">
      <c r="A35" s="62" t="s">
        <v>35</v>
      </c>
      <c r="B35" s="65">
        <v>31.0</v>
      </c>
      <c r="C35" s="65">
        <v>70.0</v>
      </c>
      <c r="D35" s="65">
        <v>0.0</v>
      </c>
      <c r="E35" s="65"/>
      <c r="F35" s="65">
        <v>2.0</v>
      </c>
      <c r="G35" s="65"/>
    </row>
    <row r="36">
      <c r="A36" s="62" t="s">
        <v>36</v>
      </c>
      <c r="B36" s="65">
        <v>34.0</v>
      </c>
      <c r="C36" s="65">
        <v>70.0</v>
      </c>
      <c r="D36" s="65">
        <v>0.0</v>
      </c>
      <c r="E36" s="65"/>
      <c r="F36" s="65">
        <v>2.0</v>
      </c>
      <c r="G36" s="65"/>
    </row>
  </sheetData>
  <mergeCells count="19">
    <mergeCell ref="G9:I9"/>
    <mergeCell ref="G13:H13"/>
    <mergeCell ref="G14:H14"/>
    <mergeCell ref="G15:H15"/>
    <mergeCell ref="G16:I16"/>
    <mergeCell ref="G18:H18"/>
    <mergeCell ref="G19:H19"/>
    <mergeCell ref="G32:H32"/>
    <mergeCell ref="G33:I33"/>
    <mergeCell ref="G34:I34"/>
    <mergeCell ref="G35:I35"/>
    <mergeCell ref="G36:I36"/>
    <mergeCell ref="G21:H21"/>
    <mergeCell ref="G25:H25"/>
    <mergeCell ref="G26:I26"/>
    <mergeCell ref="G27:I27"/>
    <mergeCell ref="G28:I28"/>
    <mergeCell ref="G29:I29"/>
    <mergeCell ref="G31:H31"/>
  </mergeCells>
  <drawing r:id="rId1"/>
</worksheet>
</file>